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3040" windowHeight="9467" activeTab="2"/>
  </bookViews>
  <sheets>
    <sheet name="Dữ liệu" sheetId="1" r:id="rId1"/>
    <sheet name="Nối chuỗi" sheetId="2" r:id="rId2"/>
    <sheet name="DG" sheetId="3" r:id="rId3"/>
    <sheet name="BangKeTru" sheetId="4" r:id="rId4"/>
    <sheet name="2Mong" sheetId="5" r:id="rId5"/>
    <sheet name="3Tru" sheetId="6" r:id="rId6"/>
    <sheet name="04BT" sheetId="7" r:id="rId7"/>
    <sheet name="05Neo" sheetId="8" r:id="rId8"/>
    <sheet name="6PK" sheetId="9" r:id="rId9"/>
    <sheet name="TiepDia" sheetId="10" r:id="rId10"/>
    <sheet name="7day" sheetId="11" r:id="rId11"/>
  </sheets>
  <externalReferences>
    <externalReference r:id="rId12"/>
  </externalReferences>
  <definedNames>
    <definedName name="_xlnm._FilterDatabase" localSheetId="2" hidden="1">DG!$A$1:$H$1476</definedName>
    <definedName name="_xlnm._FilterDatabase" localSheetId="3" hidden="1">BangKeTru!$A$5:$BO$186</definedName>
    <definedName name="_xlnm._FilterDatabase" localSheetId="4" hidden="1">'2Mong'!$A$1:$V$187</definedName>
    <definedName name="_xlnm._FilterDatabase" localSheetId="5" hidden="1">'3Tru'!$A$1:$T$179</definedName>
    <definedName name="_xlnm._FilterDatabase" localSheetId="6" hidden="1">'04BT'!$A$1:$L$187</definedName>
    <definedName name="_xlnm._FilterDatabase" localSheetId="7" hidden="1">'05Neo'!$A$1:$L$182</definedName>
    <definedName name="_xlnm._FilterDatabase" localSheetId="8" hidden="1">'6PK'!$A$1:$L$188</definedName>
    <definedName name="_xlnm._FilterDatabase" localSheetId="9" hidden="1">TiepDia!$A$1:$L$188</definedName>
    <definedName name="_xlnm._FilterDatabase" localSheetId="10" hidden="1">'7day'!$I$3:$I$15</definedName>
    <definedName name="_Builtin155" hidden="1">#N/A</definedName>
    <definedName name="_Fill" hidden="1">#REF!</definedName>
    <definedName name="wrn.chi._.tiÆt." hidden="1">{#N/A,#N/A,FALSE,"Chi tiÆt"}</definedName>
    <definedName name="_Fill" localSheetId="2" hidden="1">#REF!</definedName>
    <definedName name="DonGia">DG!$A:$H</definedName>
    <definedName name="NTLo">BangKeTru!$B:$B</definedName>
    <definedName name="NTTru">BangKeTru!$C:$C</definedName>
    <definedName name="NTNeo">BangKeTru!$D:$D</definedName>
    <definedName name="NTBetong">BangKeTru!$E:$E</definedName>
    <definedName name="NTDaCan">BangKeTru!$F:$F</definedName>
    <definedName name="NTPhuKien">BangKeTru!$G:$G</definedName>
    <definedName name="NTKeoDay">BangKeTru!$H:$H</definedName>
    <definedName name="NTTiepDia">BangKeTru!$I:$I</definedName>
    <definedName name="NTThietBi">BangKeTru!$J:$J</definedName>
    <definedName name="_xlnm.Print_Area" localSheetId="4">'2Mong'!$C:$H</definedName>
    <definedName name="_xlnm.Print_Titles" localSheetId="4">'2Mong'!$1:$1</definedName>
  </definedNames>
  <calcPr calcId="144525" calcMode="manual"/>
</workbook>
</file>

<file path=xl/sharedStrings.xml><?xml version="1.0" encoding="utf-8"?>
<sst xmlns="http://schemas.openxmlformats.org/spreadsheetml/2006/main" count="7032" uniqueCount="3458">
  <si>
    <t>Công việc 1</t>
  </si>
  <si>
    <t>Công việc 2</t>
  </si>
  <si>
    <t>Trạm A</t>
  </si>
  <si>
    <t>Trụ 1</t>
  </si>
  <si>
    <t>Trụ 2</t>
  </si>
  <si>
    <t>Trụ 3</t>
  </si>
  <si>
    <t>Trụ 4</t>
  </si>
  <si>
    <t>Trụ 5</t>
  </si>
  <si>
    <t>Trụ A1</t>
  </si>
  <si>
    <t>Trụ A2</t>
  </si>
  <si>
    <t>Trụ A3</t>
  </si>
  <si>
    <t>Trụ A4</t>
  </si>
  <si>
    <t>Trụ A5</t>
  </si>
  <si>
    <t>Trạm B</t>
  </si>
  <si>
    <t>Trạm C</t>
  </si>
  <si>
    <t>STT</t>
  </si>
  <si>
    <t>Nội dung công việc</t>
  </si>
  <si>
    <t>Bảng kê chi tiết theo số trụ</t>
  </si>
  <si>
    <t>cản</t>
  </si>
  <si>
    <t>MHĐG</t>
  </si>
  <si>
    <t>Tên vật tư</t>
  </si>
  <si>
    <t>Đơn vị</t>
  </si>
  <si>
    <t>NTVT</t>
  </si>
  <si>
    <t>Khối lượng</t>
  </si>
  <si>
    <t>D12</t>
  </si>
  <si>
    <t>04.4001</t>
  </si>
  <si>
    <t>Đà cản BTCT 1,2m</t>
  </si>
  <si>
    <t>cái</t>
  </si>
  <si>
    <t>x</t>
  </si>
  <si>
    <t>D15</t>
  </si>
  <si>
    <t>04.3801</t>
  </si>
  <si>
    <t>Đà cản BTCT 1,5m</t>
  </si>
  <si>
    <t>D20</t>
  </si>
  <si>
    <t>04.3802</t>
  </si>
  <si>
    <t>Đà cản BTCT 2,0m</t>
  </si>
  <si>
    <t>D25</t>
  </si>
  <si>
    <t>Đà cản BTCT 2,5m</t>
  </si>
  <si>
    <t>DN0212</t>
  </si>
  <si>
    <t>Đế neo BTCT 200x1200</t>
  </si>
  <si>
    <t>DN0412</t>
  </si>
  <si>
    <t>Đế neo BTCT 400x1200</t>
  </si>
  <si>
    <t>DN0415</t>
  </si>
  <si>
    <t>Đế neo BTCT 400x1500</t>
  </si>
  <si>
    <t>DN0615</t>
  </si>
  <si>
    <t>Đế neo BTCT 600x1500</t>
  </si>
  <si>
    <t>DN0618</t>
  </si>
  <si>
    <t>Đế neo BTCT 600x1800</t>
  </si>
  <si>
    <t>DN1500</t>
  </si>
  <si>
    <t>Đế neo BTCT 1500x500</t>
  </si>
  <si>
    <t>DN1200</t>
  </si>
  <si>
    <t>Đế neo BTCT 1200x500</t>
  </si>
  <si>
    <t>BNH</t>
  </si>
  <si>
    <t>Biển số - Bảng nguy hiểm</t>
  </si>
  <si>
    <t>BBD</t>
  </si>
  <si>
    <t>Biển báo độ cao</t>
  </si>
  <si>
    <t>B460</t>
  </si>
  <si>
    <t>Boulon 4x60+ 2 long đền vuông</t>
  </si>
  <si>
    <t>bộ</t>
  </si>
  <si>
    <t>B630</t>
  </si>
  <si>
    <t>Boulon 6x30+ 2 long đền vuông</t>
  </si>
  <si>
    <t>B1030TH</t>
  </si>
  <si>
    <t>Boulon thau 10x30 + 2 long đền vuông</t>
  </si>
  <si>
    <t>B1040</t>
  </si>
  <si>
    <t>Boulon 10x40+ 2 long đền vuông D12-50x50x3/Zn</t>
  </si>
  <si>
    <t>B1050</t>
  </si>
  <si>
    <t>Boulon 10x50+ 2 long đền vuông D12-50x50x3/Zn</t>
  </si>
  <si>
    <t>B10250</t>
  </si>
  <si>
    <t>Boulon 10x250+ 2 long đền vuông D14-50x50x3/Zn</t>
  </si>
  <si>
    <t>B1230</t>
  </si>
  <si>
    <t>Boulon 12x30+ 2 long đền vuông D14-50x50x3/Zn</t>
  </si>
  <si>
    <t>B1240</t>
  </si>
  <si>
    <t>Boulon 12x40+ 2 long đền vuông D14-50x50x3/Zn</t>
  </si>
  <si>
    <t>B1250</t>
  </si>
  <si>
    <t>Boulon 12x50+ 2 long đền vuông D14-50x50x3/Zn</t>
  </si>
  <si>
    <t>B1260</t>
  </si>
  <si>
    <t>Boulon 12x60+ 2 long đền vuông D14-50x50x3/Zn</t>
  </si>
  <si>
    <t>B1280</t>
  </si>
  <si>
    <t>Boulon 12x80+ 2 long đền vuông D14-50x50x3/Zn</t>
  </si>
  <si>
    <t>B12100</t>
  </si>
  <si>
    <t>Boulon 12x100+ 2 long đền vuông D14-50x50x3/Zn</t>
  </si>
  <si>
    <t>B12150</t>
  </si>
  <si>
    <t>Boulon 12x150+ 2 long đền vuông D14-50x50x3/Zn</t>
  </si>
  <si>
    <t>B12200</t>
  </si>
  <si>
    <t>Boulon 12x200+ 2 long đền vuông D14-50x50x3/Zn</t>
  </si>
  <si>
    <t>B1230TH</t>
  </si>
  <si>
    <t>Boulon thau 12x30 + 2 long đền vuông D14-50x50x3/Zn</t>
  </si>
  <si>
    <t>B1240TH</t>
  </si>
  <si>
    <t>Boulon thau 12x40 + 2 long đền vuông D14-50x50x3/Zn</t>
  </si>
  <si>
    <t>B1250TH</t>
  </si>
  <si>
    <t>Boulon thau 12x50 + 2 long đền vuông D14-50x50x3/Zn</t>
  </si>
  <si>
    <t>B14100</t>
  </si>
  <si>
    <t>Boulon 14x100+ 2 long đền vuông D16-50x50x3/Zn</t>
  </si>
  <si>
    <t>B14150</t>
  </si>
  <si>
    <t>Boulon 14x150+ 2 long đền vuông D16-50x50x3/Zn</t>
  </si>
  <si>
    <t>B1635</t>
  </si>
  <si>
    <t>Boulon 16x35+ 2 long đền vuông D18-50x50x3/Zn</t>
  </si>
  <si>
    <t>B1640</t>
  </si>
  <si>
    <t>Boulon 16x40+ 2 long đền vuông D18-50x50x3/Zn</t>
  </si>
  <si>
    <t>B1650</t>
  </si>
  <si>
    <t>Boulon 16x50+ 2 long đền vuông D18-50x50x3/Zn</t>
  </si>
  <si>
    <t>B16100</t>
  </si>
  <si>
    <t>Boulon 16x100+ 2 long đền vuông D18-50x50x3/Zn</t>
  </si>
  <si>
    <t>B16150</t>
  </si>
  <si>
    <t>Boulon 16x150+ 2 long đền vuông D18-50x50x3/Zn</t>
  </si>
  <si>
    <t>B16200</t>
  </si>
  <si>
    <t>Boulon 16x200+ 2 long đền vuông D18-50x50x3/Zn</t>
  </si>
  <si>
    <t>B16230</t>
  </si>
  <si>
    <t>Boulon 16x230/80+ 2 long đền vuông D18-50x50x3/Zn</t>
  </si>
  <si>
    <t>B16240</t>
  </si>
  <si>
    <t>Boulon 16x240/80+ 2 long đền vuông D18-50x50x3/Zn</t>
  </si>
  <si>
    <t>B16250</t>
  </si>
  <si>
    <t>Boulon 16x250+ 2 long đền vuông D18-50x50x3/Zn</t>
  </si>
  <si>
    <t>B16260</t>
  </si>
  <si>
    <t>Boulon 16x260/80+ 2 long đền vuông D18-50x50x3/Zn</t>
  </si>
  <si>
    <t>B16270</t>
  </si>
  <si>
    <t>Boulon 16x270/80+ 2 long đền vuông D18-50x50x3/Zn</t>
  </si>
  <si>
    <t>B16280</t>
  </si>
  <si>
    <t>Boulon 16x280/80+ 2 long đền vuông D18-50x50x3/Zn</t>
  </si>
  <si>
    <t>B16300</t>
  </si>
  <si>
    <t>Boulon 16x300+ 2 long đền vuông D18-50x50x3/Zn</t>
  </si>
  <si>
    <t>B16320</t>
  </si>
  <si>
    <t>Boulon 16x320+ 2 long đền vuông D18-50x50x3/Zn</t>
  </si>
  <si>
    <t>B16350</t>
  </si>
  <si>
    <t>Boulon 16x350+ 2 long đền vuông D18-50x50x3/Zn</t>
  </si>
  <si>
    <t>B16400</t>
  </si>
  <si>
    <t>Boulon 16x400+ 2 long đền vuông D18-50x50x3/Zn</t>
  </si>
  <si>
    <t>B16450</t>
  </si>
  <si>
    <t>Boulon 16x450+ 2 long đền vuông D18-50x50x3/Zn</t>
  </si>
  <si>
    <t>B16500</t>
  </si>
  <si>
    <t>Boulon 16x500+ 2 long đền vuông D18-50x50x3/Zn</t>
  </si>
  <si>
    <t>B16600</t>
  </si>
  <si>
    <t>Boulon 16x600+ 2 long đền vuông D18-50x50x3/Zn</t>
  </si>
  <si>
    <t>B1680V</t>
  </si>
  <si>
    <t>Boulon 16x80VRS+ 4 long đền vuông D18-50x50x3/Zn</t>
  </si>
  <si>
    <t>B16100V</t>
  </si>
  <si>
    <t>Boulon 16x100VRS+ 4 long đền vuông D18-50x50x3/Zn</t>
  </si>
  <si>
    <t>B16200V</t>
  </si>
  <si>
    <t>Boulon 16x200VRS+ 4 long đền vuông D18-50x50x3/Zn</t>
  </si>
  <si>
    <t>B16250V</t>
  </si>
  <si>
    <t>Boulon 16x250VRS+ 4 long đền vuông D18-50x50x3/Zn</t>
  </si>
  <si>
    <t>B16300V</t>
  </si>
  <si>
    <t>Boulon 16x300VRS+ 4 long đền vuông D18-50x50x3/Zn</t>
  </si>
  <si>
    <t>B16350V</t>
  </si>
  <si>
    <t>Boulon 16x350VRS+ 4 long đền vuông D18-50x50x3/Zn</t>
  </si>
  <si>
    <t>B16400v</t>
  </si>
  <si>
    <t>Boulon 16x400VRS+ 4 long đền vuông D18-50x50x3/Zn</t>
  </si>
  <si>
    <t>B16500V</t>
  </si>
  <si>
    <t>Boulon 16x500VRS+ 4 long đền vuông D18-50x50x3/Zn</t>
  </si>
  <si>
    <t>B16550V</t>
  </si>
  <si>
    <t>Boulon 16x550VRS+ 4 long đền vuông D18-50x50x3/Zn</t>
  </si>
  <si>
    <t>B16600V</t>
  </si>
  <si>
    <t>Boulon 16x600VRS+ 4 long đền vuông D18-50x50x3/Zn</t>
  </si>
  <si>
    <t>B16650V</t>
  </si>
  <si>
    <t>Boulon 16x650VRS+ 4 long đền vuông D18-50x50x3/Zn</t>
  </si>
  <si>
    <t>B16700V</t>
  </si>
  <si>
    <t>Boulon 16x700VRS+ 4 long đền vuông D18-50x50x3/Zn</t>
  </si>
  <si>
    <t>B22260</t>
  </si>
  <si>
    <t>Boulon 22x260+ 2 long đền vuông D24-50x50x3/Zn</t>
  </si>
  <si>
    <t>B22450</t>
  </si>
  <si>
    <t>Boulon 22x450+ 2 long đền vuông D24-50x50x3/Zn</t>
  </si>
  <si>
    <t>B22500</t>
  </si>
  <si>
    <t>Boulon 22x500+ 2 long đền vuông D24-50x50x3/Zn</t>
  </si>
  <si>
    <t>B22550</t>
  </si>
  <si>
    <t>Boulon 22x550/100+ 2 long đền vuông D24-50x50x3/Zn</t>
  </si>
  <si>
    <t>B22600</t>
  </si>
  <si>
    <t xml:space="preserve"> </t>
  </si>
  <si>
    <t>Boulon 22x600+ 2 long đền vuông D24-50x50x3/Zn</t>
  </si>
  <si>
    <t>B22650</t>
  </si>
  <si>
    <t>Boulon 22x650+ 2 long đền vuông D24-50x50x3/Zn</t>
  </si>
  <si>
    <t>B22700</t>
  </si>
  <si>
    <t>Boulon 22x700+ 2 long đền vuông D24-50x50x3/Zn</t>
  </si>
  <si>
    <t>B22750</t>
  </si>
  <si>
    <t>Boulon 22x750+ 2 long đền vuông D24-50x50x3/Zn</t>
  </si>
  <si>
    <t>B22800</t>
  </si>
  <si>
    <t>Boulon 22x800+ 2 long đền vuông D24-50x50x3/Zn</t>
  </si>
  <si>
    <t>B22850</t>
  </si>
  <si>
    <t>Boulon 22x850+ 2 long đền vuông D24-50x50x3/Zn</t>
  </si>
  <si>
    <t>B221000</t>
  </si>
  <si>
    <t>Boulon 22x1000+ 2 long đền vuông D24-50x50x3/Zn</t>
  </si>
  <si>
    <t>B22500C</t>
  </si>
  <si>
    <t>Boulon 22x500/150 chẻ đuôi cá + 2 long đền vuông D24-50x50x3/Zn</t>
  </si>
  <si>
    <t>B30800</t>
  </si>
  <si>
    <t>Boulon 30x800+ 2 long đền vuông D18-50x50x3/Zn</t>
  </si>
  <si>
    <t>B301000</t>
  </si>
  <si>
    <t>Boulon 30x1000+ 2 long đền vuông D18-50x50x3/Zn</t>
  </si>
  <si>
    <t>BM16230</t>
  </si>
  <si>
    <t>Boulon mắt 16x230+ 2 long đền vuông D18-50x50x3/Zn</t>
  </si>
  <si>
    <t>BM16250</t>
  </si>
  <si>
    <t>Boulon mắt 16x250+ 2 long đền vuông D18-50x50x3/Zn</t>
  </si>
  <si>
    <t>BM16300</t>
  </si>
  <si>
    <t>Boulon mắt 16x300+ 2 long đền vuông D18-50x50x3/Zn</t>
  </si>
  <si>
    <t>BMOC16250</t>
  </si>
  <si>
    <t>Boulon móc 16x250+ long đền vuông D18-50x50x3/Zn</t>
  </si>
  <si>
    <t>BMOC16300</t>
  </si>
  <si>
    <t>Boulon móc 16x300+ long đền vuông D18-50x50x3/Zn</t>
  </si>
  <si>
    <t>BulonVRS + ĐO</t>
  </si>
  <si>
    <t>Boulon 16x500VRS + đai ốc mắt + 2 long đền vuông D18-50x50x3/Zn</t>
  </si>
  <si>
    <t>LD tron</t>
  </si>
  <si>
    <t>Long đền tròn 12-14-16-18</t>
  </si>
  <si>
    <t>LD 40</t>
  </si>
  <si>
    <t>Long đền vuông 14-22 (50x50x3)</t>
  </si>
  <si>
    <t>LD 60</t>
  </si>
  <si>
    <t>Long đền vuông 18-24 (60x60x6)</t>
  </si>
  <si>
    <t>BATLI</t>
  </si>
  <si>
    <t>Bass LI bắt FCO</t>
  </si>
  <si>
    <t>Bộ</t>
  </si>
  <si>
    <t>BATLIA</t>
  </si>
  <si>
    <t>Bass LI bắt LA</t>
  </si>
  <si>
    <t>BATLL</t>
  </si>
  <si>
    <t>Bass LL bắt FCO và LA</t>
  </si>
  <si>
    <t>CT25</t>
  </si>
  <si>
    <t>04.5142</t>
  </si>
  <si>
    <t>Cừ tràm 2,5m</t>
  </si>
  <si>
    <t>cây</t>
  </si>
  <si>
    <t>CT3</t>
  </si>
  <si>
    <t>Cừ tràm 3m</t>
  </si>
  <si>
    <t>cong 1</t>
  </si>
  <si>
    <t>Cong D1000x1000mm</t>
  </si>
  <si>
    <t>cong 2</t>
  </si>
  <si>
    <t>Cong D1000x400mm</t>
  </si>
  <si>
    <t>CT5</t>
  </si>
  <si>
    <t>Cừ tràm 5m</t>
  </si>
  <si>
    <t>MongTB</t>
  </si>
  <si>
    <t>Móng đặt tủ bù (0,2x0,2x0,4)x4 móng</t>
  </si>
  <si>
    <t>Trọn bộ</t>
  </si>
  <si>
    <t>M11</t>
  </si>
  <si>
    <t>Cáp đồng trần M11mm2</t>
  </si>
  <si>
    <t>kg</t>
  </si>
  <si>
    <t>M22</t>
  </si>
  <si>
    <t>Cáp đồng trần M22mm2</t>
  </si>
  <si>
    <t>M25</t>
  </si>
  <si>
    <t>Cáp đồng trần M25mm2</t>
  </si>
  <si>
    <t>M38</t>
  </si>
  <si>
    <t>Cáp đồng trần M38mm2</t>
  </si>
  <si>
    <t>MTBU</t>
  </si>
  <si>
    <t>Bộ móng tủ bù 0,2x0,2x0,4x4móng</t>
  </si>
  <si>
    <t>trọn bộ</t>
  </si>
  <si>
    <t>M50</t>
  </si>
  <si>
    <t>Cáp đồng trần M50mm2</t>
  </si>
  <si>
    <t>XLPE22</t>
  </si>
  <si>
    <t>Cáp 24KV C/XLPE/PVC 22mm2</t>
  </si>
  <si>
    <t>mét</t>
  </si>
  <si>
    <t>XLPE25</t>
  </si>
  <si>
    <t>Cáp 24KV C/XLPE/PVC 25mm2</t>
  </si>
  <si>
    <t>XLPE35</t>
  </si>
  <si>
    <t>Cáp 24KV C/XLPE/PVC 35mm2</t>
  </si>
  <si>
    <t>XLPE50</t>
  </si>
  <si>
    <t>Cáp 24KV C/XLPE/PVC 50mm2</t>
  </si>
  <si>
    <t>XLPE70</t>
  </si>
  <si>
    <t>Cáp 24KV C/XLPE/PVC 70mm2</t>
  </si>
  <si>
    <t>XLPE95</t>
  </si>
  <si>
    <t>Cáp 24KV C/XLPE/PVC 95mm2</t>
  </si>
  <si>
    <t>XLPE120</t>
  </si>
  <si>
    <t>Cáp 24KV C/XLPE/PVC 120mm2</t>
  </si>
  <si>
    <t>XLPE150</t>
  </si>
  <si>
    <t>Cáp 24KV C/XLPE/PVC 150mm2</t>
  </si>
  <si>
    <t>XLPE185</t>
  </si>
  <si>
    <t>Cáp 24KV C/XLPE/PVC 185mm2</t>
  </si>
  <si>
    <t>XLPE240</t>
  </si>
  <si>
    <t>Cáp 24KV C/XLPE/PVC 240mm2</t>
  </si>
  <si>
    <t>XLPE250</t>
  </si>
  <si>
    <t>Cáp 24KV C/XLPE/PVC 250mm2</t>
  </si>
  <si>
    <t>XLPE25A</t>
  </si>
  <si>
    <t>Cáp 24KV A/XLPE/PVC 25mm2</t>
  </si>
  <si>
    <t>XLPE35A</t>
  </si>
  <si>
    <t>Cáp 24KV A/XLPE/PVC 35mm2</t>
  </si>
  <si>
    <t>XLPE50A</t>
  </si>
  <si>
    <t>Cáp 24KV A/XLPE/PVC 50mm2</t>
  </si>
  <si>
    <t>XLPE70A</t>
  </si>
  <si>
    <t>Cáp 24KV A/XLPE/PVC 70mm2</t>
  </si>
  <si>
    <t>XLPE95A</t>
  </si>
  <si>
    <t>Cáp 24KV A/XLPE/PVC 95mm2</t>
  </si>
  <si>
    <t>XLPE120A</t>
  </si>
  <si>
    <t>Cáp 24KV A/XLPE/PVC 120mm2</t>
  </si>
  <si>
    <t>XLPE150A</t>
  </si>
  <si>
    <t>Cáp 24KV A/XLPE/PVC 150mm2</t>
  </si>
  <si>
    <t>XLPE185A</t>
  </si>
  <si>
    <t>Cáp 24KV A/XLPE/PVC 185mm2</t>
  </si>
  <si>
    <t>XLPE240A</t>
  </si>
  <si>
    <t>Cáp 24KV A/XLPE/PVC 240mm2</t>
  </si>
  <si>
    <t>XLPE211HT</t>
  </si>
  <si>
    <t>Cáp C/XLPE/PVC -0.6/1kV-2x11mm2</t>
  </si>
  <si>
    <t>XLPE216HT</t>
  </si>
  <si>
    <t>Cáp C/XLPE/PVC -0.6/1kV-2x16mm2</t>
  </si>
  <si>
    <t>XLPE316HT</t>
  </si>
  <si>
    <t>Cáp C/XLPE/PVC -0.6/1kV-3x16mm2</t>
  </si>
  <si>
    <t>XLPE350HT</t>
  </si>
  <si>
    <t>Cáp C/XLPE/PVC -0.6/1kV-3x50mm2</t>
  </si>
  <si>
    <t>XLPE416HT</t>
  </si>
  <si>
    <t>Cáp C/XLPE/PVC -0.6/1kV-4x16mm2</t>
  </si>
  <si>
    <t>XLPE316+10HT</t>
  </si>
  <si>
    <t>Cáp C/XLPE/PVC -0.6/1kV-3x16+10mm2</t>
  </si>
  <si>
    <t>XLPE350+35HT</t>
  </si>
  <si>
    <t>Cáp C/XLPE/PVC -0.6/1kV-3x50+35mm2</t>
  </si>
  <si>
    <t>XLPE370+50HT</t>
  </si>
  <si>
    <t>Cáp C/XLPE/PVC -0.6/1kV-3x70+50mm2</t>
  </si>
  <si>
    <t>XLPE395+50HT</t>
  </si>
  <si>
    <t>Cáp C/XLPE/PVC -0.6/1kV-3x95+50mm2</t>
  </si>
  <si>
    <t>XLPE3120+70HT</t>
  </si>
  <si>
    <t>Cáp C/XLPE/PVC -0.6/1kV-3x120+70mm2</t>
  </si>
  <si>
    <t>XLPE3150+95HT</t>
  </si>
  <si>
    <t>Cáp C/XLPE/PVC -0.6/1kV-3x150+95mm2</t>
  </si>
  <si>
    <t>XLPE3185+120HT</t>
  </si>
  <si>
    <t>Cáp C/XLPE/PVC -0.6/1kV-3x185+120mm2</t>
  </si>
  <si>
    <t>XLPE350+35DHT</t>
  </si>
  <si>
    <t>Cáp C/XLPE/DSTA/PVC -0.6/1kV-3x50+35mm2</t>
  </si>
  <si>
    <t>XLPE325D</t>
  </si>
  <si>
    <t>Cáp 24kV C/XLPE/DSTA/PVC3x25</t>
  </si>
  <si>
    <t>XLPE350D</t>
  </si>
  <si>
    <t>Cáp 24kV C/XLPE/DSTA/PVC3x50</t>
  </si>
  <si>
    <t>XLPE370D</t>
  </si>
  <si>
    <t>Cáp 24kV C/XLPE/DSTA/PVC3x70mm2</t>
  </si>
  <si>
    <t>XLPE395D</t>
  </si>
  <si>
    <t>Cáp 24kV C/XLPE/DSTA/PVC3x95mm2</t>
  </si>
  <si>
    <t>XLPE3120D</t>
  </si>
  <si>
    <t>Cáp 24kV C/XLPE/DSTA/PVC3x120mm2</t>
  </si>
  <si>
    <t>XLPE3150D</t>
  </si>
  <si>
    <t>Cáp 24kV C/XLPE/DSTA/PVC3x150mm2</t>
  </si>
  <si>
    <t>XLPE3185D</t>
  </si>
  <si>
    <t>Cáp 24kV C/XLPE/DSTA/PVC3x185mm2</t>
  </si>
  <si>
    <t>XLPE3240D</t>
  </si>
  <si>
    <t>Cáp 24kV C/XLPE/DSTA/PVC3x240mm2</t>
  </si>
  <si>
    <t>XLPE200HT</t>
  </si>
  <si>
    <t>Cáp 0,6/1KV C/XLPE/PVC 200mm2</t>
  </si>
  <si>
    <t>XLPE240HT</t>
  </si>
  <si>
    <t>Cáp 0,6/1KV C/XLPE/PVC 240mm2</t>
  </si>
  <si>
    <t>XLPE250HT</t>
  </si>
  <si>
    <t>Cáp 0,6/1KV C/XLPE/PVC 250mm2</t>
  </si>
  <si>
    <t>XLPE300HT</t>
  </si>
  <si>
    <t>Cáp 0,6/1KV C/XLPE/PVC 300mm2</t>
  </si>
  <si>
    <t>ACKP35</t>
  </si>
  <si>
    <t>Cáp nhôm lõi thép ACKP-35/6,2</t>
  </si>
  <si>
    <t>ACKP50</t>
  </si>
  <si>
    <t>Cáp nhôm lõi thép ACKP-50/8</t>
  </si>
  <si>
    <t>ACKP70</t>
  </si>
  <si>
    <t>Cáp nhôm lõi thép ACKP-70/11</t>
  </si>
  <si>
    <t>ACKP95</t>
  </si>
  <si>
    <t>Cáp nhôm lõi thép ACKP-95/16</t>
  </si>
  <si>
    <t>ACKP120</t>
  </si>
  <si>
    <t>Cáp nhôm lõi thép ACKP-120/19</t>
  </si>
  <si>
    <t>ACKP150</t>
  </si>
  <si>
    <t>Cáp nhôm lõi thép ACKP-150/24</t>
  </si>
  <si>
    <t>ACKP185</t>
  </si>
  <si>
    <t>Cáp nhôm lõi thép ACKP-185/29</t>
  </si>
  <si>
    <t>ACKP240</t>
  </si>
  <si>
    <t>Cáp nhôm lõi thép ACKP-240/32</t>
  </si>
  <si>
    <t>ACXV150</t>
  </si>
  <si>
    <t>Cáp nhôm lõi thép bọc 24KV AC/XLPE/PVC150 mm2</t>
  </si>
  <si>
    <t>ACXV50</t>
  </si>
  <si>
    <t>Cáp 24KV AS/XLPE/PVC 50 mm2</t>
  </si>
  <si>
    <t>AC35</t>
  </si>
  <si>
    <t>Cáp nhôm lõi thép AC-35/6,2</t>
  </si>
  <si>
    <t>AC50</t>
  </si>
  <si>
    <t>Cáp nhôm lõi thép AC-50/8</t>
  </si>
  <si>
    <t>AC70</t>
  </si>
  <si>
    <t>Cáp nhôm lõi thép AC-70/11</t>
  </si>
  <si>
    <t>AC95</t>
  </si>
  <si>
    <t>Cáp nhôm lõi thép AC-95/16</t>
  </si>
  <si>
    <t>AC120</t>
  </si>
  <si>
    <t>Cáp nhôm lõi thép AC-120/19</t>
  </si>
  <si>
    <t>AC150</t>
  </si>
  <si>
    <t>Cáp nhôm lõi thép AC-150/24</t>
  </si>
  <si>
    <t>AC185</t>
  </si>
  <si>
    <t>Cáp nhôm lõi thép AC-185/29</t>
  </si>
  <si>
    <t>AC240</t>
  </si>
  <si>
    <t>Cáp nhôm lõi thép AC-240/39</t>
  </si>
  <si>
    <t>av35</t>
  </si>
  <si>
    <t>Cáp nhôm bọc AV35</t>
  </si>
  <si>
    <t>av50</t>
  </si>
  <si>
    <t>Cáp nhôm bọc AV50</t>
  </si>
  <si>
    <t>av70</t>
  </si>
  <si>
    <t>Cáp nhôm bọc AV70</t>
  </si>
  <si>
    <t>av95</t>
  </si>
  <si>
    <t>Cáp nhôm bọc AV95</t>
  </si>
  <si>
    <t>av120</t>
  </si>
  <si>
    <t>Cáp nhôm bọc AV120</t>
  </si>
  <si>
    <t>av150</t>
  </si>
  <si>
    <t>Cáp nhôm bọc AV150</t>
  </si>
  <si>
    <t>av185</t>
  </si>
  <si>
    <t>Cáp nhôm bọc AV185</t>
  </si>
  <si>
    <t>av240</t>
  </si>
  <si>
    <t>Cáp nhôm bọc AV240</t>
  </si>
  <si>
    <t>av300</t>
  </si>
  <si>
    <t>Cáp nhôm bọc AV300</t>
  </si>
  <si>
    <t>ABC3x50</t>
  </si>
  <si>
    <t>Cáp nhôm ABC 3x50mm2</t>
  </si>
  <si>
    <t>ABC3x70</t>
  </si>
  <si>
    <t>Cáp nhôm ABC 3x70mm2</t>
  </si>
  <si>
    <t>ABC4x50</t>
  </si>
  <si>
    <t>Cáp nhôm ABC 4x50mm2</t>
  </si>
  <si>
    <t>ABC4x70</t>
  </si>
  <si>
    <t>Cáp nhôm ABC 4x70mm2</t>
  </si>
  <si>
    <t>ABC3x95</t>
  </si>
  <si>
    <t>Cáp nhôm ABC 3x95mm2</t>
  </si>
  <si>
    <t>ABC4x95</t>
  </si>
  <si>
    <t>Cáp nhôm ABC 4x95mm2</t>
  </si>
  <si>
    <t>ABC4x120</t>
  </si>
  <si>
    <t>Cáp nhôm ABC 4x120mm2</t>
  </si>
  <si>
    <t>ABC4x150</t>
  </si>
  <si>
    <t>Cáp nhôm ABC 4x150mm2</t>
  </si>
  <si>
    <t>CVV2x2,5</t>
  </si>
  <si>
    <t>03.1401</t>
  </si>
  <si>
    <t xml:space="preserve">Cáp CVV 2x2,5mm2  </t>
  </si>
  <si>
    <t>CVV316</t>
  </si>
  <si>
    <t>Cáp CVV 3x16mm2</t>
  </si>
  <si>
    <t>CVV4X2,5</t>
  </si>
  <si>
    <t xml:space="preserve">Cáp CVV 4x2,5mm2  </t>
  </si>
  <si>
    <t>M5M</t>
  </si>
  <si>
    <t>Dây đồng trần mềm dẹt</t>
  </si>
  <si>
    <t>CVV4X4</t>
  </si>
  <si>
    <t xml:space="preserve">Cáp CVV 4x4mm2  </t>
  </si>
  <si>
    <t>CV2,5</t>
  </si>
  <si>
    <t>04.4201</t>
  </si>
  <si>
    <t>Cáp đồng mềm CV2,5</t>
  </si>
  <si>
    <t>cv11</t>
  </si>
  <si>
    <t>Cáp đồng bọc CV11</t>
  </si>
  <si>
    <t>cv16</t>
  </si>
  <si>
    <t>Cáp đồng bọc CV16</t>
  </si>
  <si>
    <t>cv25</t>
  </si>
  <si>
    <t>Cáp đồng bọc CV25</t>
  </si>
  <si>
    <t>cv35</t>
  </si>
  <si>
    <t>Cáp đồng bọc CV35</t>
  </si>
  <si>
    <t>cv50</t>
  </si>
  <si>
    <t>Cáp đồng bọc CV50</t>
  </si>
  <si>
    <t>cv70</t>
  </si>
  <si>
    <t>Cáp đồng bọc CV70</t>
  </si>
  <si>
    <t>cv95</t>
  </si>
  <si>
    <t>Cáp đồng bọc CV95</t>
  </si>
  <si>
    <t>cv120</t>
  </si>
  <si>
    <t>Cáp đồng bọc CV120</t>
  </si>
  <si>
    <t>cv150</t>
  </si>
  <si>
    <t>Cáp đồng bọc CV150</t>
  </si>
  <si>
    <t>cv185</t>
  </si>
  <si>
    <t>Cáp đồng bọc CV185</t>
  </si>
  <si>
    <t>cv200</t>
  </si>
  <si>
    <t>Cáp đồng bọc CV200</t>
  </si>
  <si>
    <t>cv240</t>
  </si>
  <si>
    <t>Cáp đồng bọc CV240</t>
  </si>
  <si>
    <t>cv250</t>
  </si>
  <si>
    <t>Cáp đồng bọc CV250</t>
  </si>
  <si>
    <t>cv300</t>
  </si>
  <si>
    <t>Cáp đồng bọc CV300</t>
  </si>
  <si>
    <t>cv400</t>
  </si>
  <si>
    <t>Cáp đồng bọc CV400</t>
  </si>
  <si>
    <t>acv35</t>
  </si>
  <si>
    <t>Cáp nhôm lõi thép ACV35</t>
  </si>
  <si>
    <t>acv50</t>
  </si>
  <si>
    <t>Cáp nhôm lõi thép ACV50</t>
  </si>
  <si>
    <t>acv70</t>
  </si>
  <si>
    <t>Cáp nhôm lõi thép ACV70</t>
  </si>
  <si>
    <t>acv95</t>
  </si>
  <si>
    <t>Cáp nhôm lõi thép ACV95</t>
  </si>
  <si>
    <t>acv120</t>
  </si>
  <si>
    <t>Cáp nhôm lõi thép ACV120</t>
  </si>
  <si>
    <t>acv150</t>
  </si>
  <si>
    <t>Cáp nhôm lõi thép ACV150</t>
  </si>
  <si>
    <t>acv185</t>
  </si>
  <si>
    <t>Cáp nhôm lõi thép ACV185</t>
  </si>
  <si>
    <t>acv240</t>
  </si>
  <si>
    <t>Cáp nhôm lõi thép ACV240</t>
  </si>
  <si>
    <t>A35</t>
  </si>
  <si>
    <t>Cáp nhôm A-35</t>
  </si>
  <si>
    <t>A50</t>
  </si>
  <si>
    <t>Cáp nhôm A-50</t>
  </si>
  <si>
    <t>A70</t>
  </si>
  <si>
    <t>Cáp nhôm A-70</t>
  </si>
  <si>
    <t>A95</t>
  </si>
  <si>
    <t>Cáp nhôm A-95</t>
  </si>
  <si>
    <t>A120</t>
  </si>
  <si>
    <t>Cáp nhôm A-120</t>
  </si>
  <si>
    <t>A150</t>
  </si>
  <si>
    <t>Cáp nhôm A-150</t>
  </si>
  <si>
    <t>A185</t>
  </si>
  <si>
    <t>Cáp nhôm A-185</t>
  </si>
  <si>
    <t>A240</t>
  </si>
  <si>
    <t>Cáp nhôm A-240</t>
  </si>
  <si>
    <t>C3/8</t>
  </si>
  <si>
    <t>Cáp thép 3/8"</t>
  </si>
  <si>
    <t>C5/8</t>
  </si>
  <si>
    <t>Cáp thép 5/8"</t>
  </si>
  <si>
    <t>CSDI</t>
  </si>
  <si>
    <t>Chân sứ đỉnh thẳng dài 870mm</t>
  </si>
  <si>
    <t>CSDG</t>
  </si>
  <si>
    <t>Chân sứ đỉnh đỡ góc dài 870mm</t>
  </si>
  <si>
    <t>CSD</t>
  </si>
  <si>
    <t>Chân sứ đứng D20</t>
  </si>
  <si>
    <t>DAYA</t>
  </si>
  <si>
    <t xml:space="preserve">Dây nhôm buộc </t>
  </si>
  <si>
    <t>DAYA70</t>
  </si>
  <si>
    <t>Cáp nhôm A-70: buộc cổ sứ</t>
  </si>
  <si>
    <t>GDFCO</t>
  </si>
  <si>
    <t>05.6100</t>
  </si>
  <si>
    <t>Giá chữ "T" lắp FCO, LA (V63x63x6)</t>
  </si>
  <si>
    <t>GUFCO</t>
  </si>
  <si>
    <t>Giá U 80x600 lắp FCO</t>
  </si>
  <si>
    <t>GIATFCO</t>
  </si>
  <si>
    <t>05.6001</t>
  </si>
  <si>
    <t>Giá chữ "T" lắp FCO, LA (V50x50x5)</t>
  </si>
  <si>
    <t>Kg</t>
  </si>
  <si>
    <t>Gianoi1600</t>
  </si>
  <si>
    <t>Giá nới + Thanh cái tủ CB</t>
  </si>
  <si>
    <t>Gianoi2500</t>
  </si>
  <si>
    <t>GianoiCB</t>
  </si>
  <si>
    <t>GCST</t>
  </si>
  <si>
    <t>Gia công sắt thép</t>
  </si>
  <si>
    <t>G</t>
  </si>
  <si>
    <t>Vật liệu dựng trụ</t>
  </si>
  <si>
    <t>trụ</t>
  </si>
  <si>
    <t>K3B</t>
  </si>
  <si>
    <t>Kẹp cáp 3 boulon</t>
  </si>
  <si>
    <t>CTD</t>
  </si>
  <si>
    <t>Cọc tiếp đất Ø16 - 2,4m</t>
  </si>
  <si>
    <t>cọc</t>
  </si>
  <si>
    <t>CTD+K</t>
  </si>
  <si>
    <t>Cọc tiếp đất Ø 16- 2,4m + kẹp cọc</t>
  </si>
  <si>
    <t>K-Cu</t>
  </si>
  <si>
    <t>Kẹp cọc tiếp đất Cu</t>
  </si>
  <si>
    <t>K-Fe</t>
  </si>
  <si>
    <t>Kẹp cọc tiếp đất Fe</t>
  </si>
  <si>
    <t>K35</t>
  </si>
  <si>
    <t>Kẹp 2 rãnh (APC) cỡ dây 35mm2</t>
  </si>
  <si>
    <t>K50</t>
  </si>
  <si>
    <t>Kẹp 2 rãnh (APC) cỡ dây 50mm2</t>
  </si>
  <si>
    <t>K70</t>
  </si>
  <si>
    <t>Kẹp 2 rãnh (APC) cỡ dây 70mm2</t>
  </si>
  <si>
    <t>K95</t>
  </si>
  <si>
    <t>Kẹp 2 rãnh (APC) cỡ dây 95mm2</t>
  </si>
  <si>
    <t>K120</t>
  </si>
  <si>
    <t>Kẹp 2 rãnh (APC) cỡ dây 120mm2</t>
  </si>
  <si>
    <t>K150</t>
  </si>
  <si>
    <t>Kẹp 2 rãnh (APC) cỡ dây 150mm2</t>
  </si>
  <si>
    <t>K185</t>
  </si>
  <si>
    <t>Kẹp 2 rãnh (APC) cỡ dây 185mm2</t>
  </si>
  <si>
    <t>K240</t>
  </si>
  <si>
    <t>Kẹp 2 rãnh (APC) cỡ dây 240 mm2</t>
  </si>
  <si>
    <t>KTREO211</t>
  </si>
  <si>
    <t>Kẹp treo cáp ABC2x11mm2</t>
  </si>
  <si>
    <t>KTREO11</t>
  </si>
  <si>
    <t>Kẹp treo cáp ABC4x11mm2</t>
  </si>
  <si>
    <t>KTREO22</t>
  </si>
  <si>
    <t>Kẹp treo cáp ABC4x22mm2</t>
  </si>
  <si>
    <t>KTREO35</t>
  </si>
  <si>
    <t>Kẹp treo cáp ABC4x35mm2</t>
  </si>
  <si>
    <t>KTREO50</t>
  </si>
  <si>
    <t>Kẹp treo cáp ABC4x50mm2</t>
  </si>
  <si>
    <t>KTREO70</t>
  </si>
  <si>
    <t>06.1201</t>
  </si>
  <si>
    <t>Kẹp treo cáp ABC4x70mm2</t>
  </si>
  <si>
    <t>KTREO95</t>
  </si>
  <si>
    <t>Kẹp treo cáp ABC3x95mm2</t>
  </si>
  <si>
    <t>KTREO120</t>
  </si>
  <si>
    <t>Kẹp treo cáp ABC4x120mm2</t>
  </si>
  <si>
    <t>KTREO150</t>
  </si>
  <si>
    <t>Kẹp treo cáp ABC4x150mm2</t>
  </si>
  <si>
    <t>MTREO A</t>
  </si>
  <si>
    <t>Móc treo chữ A</t>
  </si>
  <si>
    <t>MOCDUNG</t>
  </si>
  <si>
    <t xml:space="preserve">Móc dừng </t>
  </si>
  <si>
    <t xml:space="preserve">MTREO </t>
  </si>
  <si>
    <t xml:space="preserve">Móc đơn treo cáp </t>
  </si>
  <si>
    <t>KDPLY</t>
  </si>
  <si>
    <t>Kháng bắt sứ kép polymer</t>
  </si>
  <si>
    <t>KNGUNG211</t>
  </si>
  <si>
    <t>Kẹp ngừng cáp ABC2x11mm2</t>
  </si>
  <si>
    <t>KNGUNG11</t>
  </si>
  <si>
    <t>Kẹp ngừng cáp ABC4x11mm2</t>
  </si>
  <si>
    <t>KNGUNG22</t>
  </si>
  <si>
    <t>Kẹp ngừng cáp ABC4x22mm2</t>
  </si>
  <si>
    <t>KNGUNG35</t>
  </si>
  <si>
    <t>Kẹp ngừng cáp ABC4x35mm2</t>
  </si>
  <si>
    <t>KNGUNG50</t>
  </si>
  <si>
    <t>Kẹp ngừng cáp ABC4x50mm2</t>
  </si>
  <si>
    <t>KNGUNG70</t>
  </si>
  <si>
    <t>Kẹp ngừng cáp ABC4x70mm2</t>
  </si>
  <si>
    <t>KNGUNG95</t>
  </si>
  <si>
    <t>Kẹp ngừng cáp ABC3x95mm2</t>
  </si>
  <si>
    <t>KNGUNG120</t>
  </si>
  <si>
    <t>Kẹp ngừng cáp ABC4x120mm2</t>
  </si>
  <si>
    <t>KNGUNG150</t>
  </si>
  <si>
    <t>Kẹp ngừng cáp ABC4x150mm2</t>
  </si>
  <si>
    <t>Hopcap240</t>
  </si>
  <si>
    <t>Hộp nối cáp ngầm 24kV 3x240mm2</t>
  </si>
  <si>
    <t>Hopcap185</t>
  </si>
  <si>
    <t>Hộp nối cáp ngầm 24kV 3x185mm2</t>
  </si>
  <si>
    <t>Hopcap150</t>
  </si>
  <si>
    <t>Hộp nối cáp ngầm 24kV 3x150mm2</t>
  </si>
  <si>
    <t>Hopcap120</t>
  </si>
  <si>
    <t>Hộp nối cáp ngầm 24kV 3x120mm2</t>
  </si>
  <si>
    <t>Hopcap95</t>
  </si>
  <si>
    <t>Hộp nối cáp ngầm 24kV 3x95mm2</t>
  </si>
  <si>
    <t>Hopcap70</t>
  </si>
  <si>
    <t>Hộp nối cáp ngầm 24kV 3x70mm2</t>
  </si>
  <si>
    <t>Hopcap50</t>
  </si>
  <si>
    <t>Hộp nối cáp ngầm 24kV 3x50mm2</t>
  </si>
  <si>
    <t>HOP9C</t>
  </si>
  <si>
    <t>Hộp phân phối 9CB-32A</t>
  </si>
  <si>
    <t>HOP6C</t>
  </si>
  <si>
    <t>Hộp phân phối (hộp rỗng)</t>
  </si>
  <si>
    <t>BTNN</t>
  </si>
  <si>
    <t>Bêtông nhựa nóng hạt thô</t>
  </si>
  <si>
    <t>m3</t>
  </si>
  <si>
    <t>BTNN min</t>
  </si>
  <si>
    <t>Bêtông nhựa nóng hạt mịn</t>
  </si>
  <si>
    <t>BTNN-TL</t>
  </si>
  <si>
    <t>ED.2005</t>
  </si>
  <si>
    <t>Tái lập bêtông nhựa nóng hạt thô 7mm</t>
  </si>
  <si>
    <t>m2</t>
  </si>
  <si>
    <t>BTNN-TL min</t>
  </si>
  <si>
    <t>ED.3001</t>
  </si>
  <si>
    <t>Tái lập bêtông nhựa nóng hạt mịn 3mm</t>
  </si>
  <si>
    <t>BT</t>
  </si>
  <si>
    <t>04.9001</t>
  </si>
  <si>
    <t>Bitum</t>
  </si>
  <si>
    <t>BIT150</t>
  </si>
  <si>
    <t>Nắp bịt đầu cáp ABC150mm2</t>
  </si>
  <si>
    <t>BIT120</t>
  </si>
  <si>
    <t>Nắp bịt đầu cáp ABC120mm2</t>
  </si>
  <si>
    <t>BIT95</t>
  </si>
  <si>
    <t>Nắp bịt đầu cáp ABC95mm2</t>
  </si>
  <si>
    <t>BIT70</t>
  </si>
  <si>
    <t>Nắp bịt đầu cáp ABC70mm2</t>
  </si>
  <si>
    <t>BIT50</t>
  </si>
  <si>
    <t>Nắp bịt đầu cáp ABC50mm2</t>
  </si>
  <si>
    <t>BIT35</t>
  </si>
  <si>
    <t>Nắp bịt đầu cáp 35mm2</t>
  </si>
  <si>
    <t>KE399</t>
  </si>
  <si>
    <t>Kẹp ép WR 399</t>
  </si>
  <si>
    <t>KE25</t>
  </si>
  <si>
    <t>Kẹp ép cỡ dây 25mm2</t>
  </si>
  <si>
    <t>KE35</t>
  </si>
  <si>
    <t>Kẹp ép WR cỡ dây 35mm2</t>
  </si>
  <si>
    <t>KE50</t>
  </si>
  <si>
    <t>Kẹp ép WR cỡ dây 50mm2</t>
  </si>
  <si>
    <t>KE70</t>
  </si>
  <si>
    <t>Kẹp ép WR cỡ dây 70mm2</t>
  </si>
  <si>
    <t>KE95</t>
  </si>
  <si>
    <t>Kẹp ép WR cỡ dây 95mm2</t>
  </si>
  <si>
    <t>KE120</t>
  </si>
  <si>
    <t>Kẹp ép WR cỡ dây 120mm2</t>
  </si>
  <si>
    <t>KE150</t>
  </si>
  <si>
    <t>Kẹp ép WR cỡ dây 150mm2</t>
  </si>
  <si>
    <t>KE185</t>
  </si>
  <si>
    <t>Kẹp ép WR cỡ dây 185mm2</t>
  </si>
  <si>
    <t>KE240</t>
  </si>
  <si>
    <t>Kẹp ép WR cỡ dây 240mm2</t>
  </si>
  <si>
    <t>KCUAL</t>
  </si>
  <si>
    <t>Kẹp nối đồng-nhôm</t>
  </si>
  <si>
    <t>KCUAL60</t>
  </si>
  <si>
    <t>Kẹp nối đồng-nhôm 60mm2</t>
  </si>
  <si>
    <t>KQ2/0</t>
  </si>
  <si>
    <t>04.3007</t>
  </si>
  <si>
    <t>Kẹp quai 2/0</t>
  </si>
  <si>
    <t xml:space="preserve">KQ2/0 </t>
  </si>
  <si>
    <t>Kẹp quai 2/0 + chụp cách điện</t>
  </si>
  <si>
    <t>KQ4/0</t>
  </si>
  <si>
    <t>Kẹp quai 4/0</t>
  </si>
  <si>
    <t xml:space="preserve">KQ4/0 </t>
  </si>
  <si>
    <t>Kẹp quai 4/0 + chụp cách điện</t>
  </si>
  <si>
    <t>KH2/0</t>
  </si>
  <si>
    <t>Kẹp hotline 2/0</t>
  </si>
  <si>
    <t>KH4/0</t>
  </si>
  <si>
    <t>Kẹp hotline 4/0</t>
  </si>
  <si>
    <t>KH350M</t>
  </si>
  <si>
    <t>Kẹp hotline 350MCM</t>
  </si>
  <si>
    <t>KEU35</t>
  </si>
  <si>
    <t>Kẹp U bolt dây 35mm2</t>
  </si>
  <si>
    <t>KEU50</t>
  </si>
  <si>
    <t>Kẹp U bolt dây 50mm2</t>
  </si>
  <si>
    <t>KEU70</t>
  </si>
  <si>
    <t>Kẹp U bolt dây 70mm2</t>
  </si>
  <si>
    <t>KEU95</t>
  </si>
  <si>
    <t>Kẹp U bolt dây 95mm2</t>
  </si>
  <si>
    <t>Kd50</t>
  </si>
  <si>
    <t>Khóa đỡ dây cỡ dây 50</t>
  </si>
  <si>
    <t>Kd70</t>
  </si>
  <si>
    <t>Khóa đỡ dây cỡ dây 70</t>
  </si>
  <si>
    <t>Kd95</t>
  </si>
  <si>
    <t>Khóa đỡ dây cỡ dây 95</t>
  </si>
  <si>
    <t>Kd120</t>
  </si>
  <si>
    <t>Khóa đỡ dây cỡ dây 120</t>
  </si>
  <si>
    <t>Kd150</t>
  </si>
  <si>
    <t>Khóa đỡ dây cỡ dây 150</t>
  </si>
  <si>
    <t>Kd185</t>
  </si>
  <si>
    <t>Khóa đỡ dây cỡ dây 185</t>
  </si>
  <si>
    <t>Kd240</t>
  </si>
  <si>
    <t>Khóa đỡ dây cỡ dây 240</t>
  </si>
  <si>
    <t>KD357</t>
  </si>
  <si>
    <t>Khóa đỡ Đ357</t>
  </si>
  <si>
    <t>KD912</t>
  </si>
  <si>
    <t>Khóa đỡ Đ912</t>
  </si>
  <si>
    <t>KD158</t>
  </si>
  <si>
    <t>Khóa đỡ Đ158</t>
  </si>
  <si>
    <t>KN35</t>
  </si>
  <si>
    <t>Khóa néo dây cỡ dây 35</t>
  </si>
  <si>
    <t>KN50</t>
  </si>
  <si>
    <t>Khóa néo dây cỡ dây 50</t>
  </si>
  <si>
    <t>KN70</t>
  </si>
  <si>
    <t>Khóa néo dây cỡ dây 70</t>
  </si>
  <si>
    <t>KN95</t>
  </si>
  <si>
    <t>Khóa néo dây cỡ dây 95</t>
  </si>
  <si>
    <t>KN120</t>
  </si>
  <si>
    <t>Khóa néo dây cỡ dây 120</t>
  </si>
  <si>
    <t>KN150</t>
  </si>
  <si>
    <t>Khóa néo dây cỡ dây 150</t>
  </si>
  <si>
    <t>KN185</t>
  </si>
  <si>
    <t>Khóa néo dây cỡ dây 185</t>
  </si>
  <si>
    <t>KN240</t>
  </si>
  <si>
    <t>Khóa néo dây cỡ dây 240</t>
  </si>
  <si>
    <t>KN158</t>
  </si>
  <si>
    <t>Khóa néo N158</t>
  </si>
  <si>
    <t>KN912</t>
  </si>
  <si>
    <t>Khóa néo N912</t>
  </si>
  <si>
    <t>KN357</t>
  </si>
  <si>
    <t>Khóa néo N357</t>
  </si>
  <si>
    <t>GNIU</t>
  </si>
  <si>
    <t>Giáp níu dừng dây bọc 185</t>
  </si>
  <si>
    <t>MANG</t>
  </si>
  <si>
    <t>Máng che dây chằng dày 1,6mm</t>
  </si>
  <si>
    <t>MND</t>
  </si>
  <si>
    <t>Mắt nối đơn</t>
  </si>
  <si>
    <t>MNTG</t>
  </si>
  <si>
    <t xml:space="preserve">Mắt nối t/ gian </t>
  </si>
  <si>
    <t>MT</t>
  </si>
  <si>
    <t xml:space="preserve">Móc treo chữ U </t>
  </si>
  <si>
    <t>MT61A</t>
  </si>
  <si>
    <t>Móc treo CK61A</t>
  </si>
  <si>
    <t>VT</t>
  </si>
  <si>
    <t>Vòng treo đầu tròn</t>
  </si>
  <si>
    <t>ON240A</t>
  </si>
  <si>
    <t>Ống nối dây A-240</t>
  </si>
  <si>
    <t>ON185A</t>
  </si>
  <si>
    <t>Ống nối dây A-185</t>
  </si>
  <si>
    <t>ON120A</t>
  </si>
  <si>
    <t>Ống nối dây A-120</t>
  </si>
  <si>
    <t>ON95A</t>
  </si>
  <si>
    <t>Ống nối dây A-95</t>
  </si>
  <si>
    <t>ON70A</t>
  </si>
  <si>
    <t>Ống nối dây A-70</t>
  </si>
  <si>
    <t>ON50A</t>
  </si>
  <si>
    <t>Ống nối dây A-50</t>
  </si>
  <si>
    <t>ON35A</t>
  </si>
  <si>
    <t>Ống nối dây A-35</t>
  </si>
  <si>
    <t>ON35</t>
  </si>
  <si>
    <t>Ống nối dây cỡ 35mm2</t>
  </si>
  <si>
    <t>ON50</t>
  </si>
  <si>
    <t>Ống nối dây cỡ 50mm2</t>
  </si>
  <si>
    <t>ON70</t>
  </si>
  <si>
    <t>Ống nối dây cỡ 70mm2</t>
  </si>
  <si>
    <t>ON95</t>
  </si>
  <si>
    <t>Ống nối dây cỡ 95mm2</t>
  </si>
  <si>
    <t>ON120</t>
  </si>
  <si>
    <t>Ống nối dây cỡ 120mm2</t>
  </si>
  <si>
    <t>ON150</t>
  </si>
  <si>
    <t>Ống nối dây cỡ 150mm2</t>
  </si>
  <si>
    <t>ON185</t>
  </si>
  <si>
    <t>Ống nối dây cỡ 185mm2</t>
  </si>
  <si>
    <t>ON240</t>
  </si>
  <si>
    <t>Ống nối dây cỡ 240mm2</t>
  </si>
  <si>
    <t>ON50B</t>
  </si>
  <si>
    <t>Ống nối dây chịu sức căng cỡ 50mm2</t>
  </si>
  <si>
    <t>PU</t>
  </si>
  <si>
    <t>Puli</t>
  </si>
  <si>
    <t>R1</t>
  </si>
  <si>
    <t>Uclevis</t>
  </si>
  <si>
    <t>R2</t>
  </si>
  <si>
    <t>Rack 2 sứ + sứ ống chỉ</t>
  </si>
  <si>
    <t>R3</t>
  </si>
  <si>
    <t>Rack 3 sứ + sứ ống chỉ</t>
  </si>
  <si>
    <t>R4</t>
  </si>
  <si>
    <t>Rack 4</t>
  </si>
  <si>
    <t>R4S</t>
  </si>
  <si>
    <t>Rack 4 sứ + sứ ống chỉ</t>
  </si>
  <si>
    <t>SD</t>
  </si>
  <si>
    <t xml:space="preserve">Sứ đứng 24KV </t>
  </si>
  <si>
    <t>SD35</t>
  </si>
  <si>
    <t>Sứ đứng 35KV + ty</t>
  </si>
  <si>
    <t>SDI35</t>
  </si>
  <si>
    <t>Sứ đứng 35KV + ty sứ đỉnh</t>
  </si>
  <si>
    <t>SDCM</t>
  </si>
  <si>
    <t>Sứ đứng 24KV chống nhiễm mặn</t>
  </si>
  <si>
    <t>SN</t>
  </si>
  <si>
    <t>Sứ chằng</t>
  </si>
  <si>
    <t>SOC</t>
  </si>
  <si>
    <t xml:space="preserve">Sứ ống chỉ </t>
  </si>
  <si>
    <t>ST</t>
  </si>
  <si>
    <t>Sứ treo loại 70kN</t>
  </si>
  <si>
    <t>bát</t>
  </si>
  <si>
    <t>ST120</t>
  </si>
  <si>
    <t>Sứ treo loại 120kN</t>
  </si>
  <si>
    <t>STply</t>
  </si>
  <si>
    <t>Sứ treo polymer</t>
  </si>
  <si>
    <t>chuỗi</t>
  </si>
  <si>
    <t>Stply-HT</t>
  </si>
  <si>
    <t>Sứ polymer cách điện hạ thế thanh cái tủ</t>
  </si>
  <si>
    <t>S40</t>
  </si>
  <si>
    <t>Sắt dẹt 40 x 4</t>
  </si>
  <si>
    <t>S50</t>
  </si>
  <si>
    <t>Sắt dẹt 50 x 5</t>
  </si>
  <si>
    <t>S60</t>
  </si>
  <si>
    <t>Sắt dẹt 60 x 6</t>
  </si>
  <si>
    <t>S70</t>
  </si>
  <si>
    <t>Sắt dẹt 70 x 7</t>
  </si>
  <si>
    <t>S806</t>
  </si>
  <si>
    <t>Sắt dẹt 80 x 6</t>
  </si>
  <si>
    <t>S80</t>
  </si>
  <si>
    <t>Sắt dẹt 80 x 8</t>
  </si>
  <si>
    <t>S1008</t>
  </si>
  <si>
    <t>Sắt dẹt 100 x 8</t>
  </si>
  <si>
    <t>SL32</t>
  </si>
  <si>
    <t>Sắt góc L32 x 32 x 3</t>
  </si>
  <si>
    <t>SL40</t>
  </si>
  <si>
    <t>Sắt góc L40 x40 x4</t>
  </si>
  <si>
    <t>SL45</t>
  </si>
  <si>
    <t>Sắt góc L45 x45 x 4</t>
  </si>
  <si>
    <t>SL50</t>
  </si>
  <si>
    <t>Sắt góc L50 x50 x5</t>
  </si>
  <si>
    <t>SL70</t>
  </si>
  <si>
    <t>Sắt góc L70 x70 x7</t>
  </si>
  <si>
    <t>SL75</t>
  </si>
  <si>
    <t>Sắt góc L75 x75 x8</t>
  </si>
  <si>
    <t>SO6</t>
  </si>
  <si>
    <t>Sắt   Ø6</t>
  </si>
  <si>
    <t>SO8</t>
  </si>
  <si>
    <t>Sắt   Ø8</t>
  </si>
  <si>
    <t>SO10</t>
  </si>
  <si>
    <t>Sắt   Ø10</t>
  </si>
  <si>
    <t>SO12</t>
  </si>
  <si>
    <t>Sắt   Ø12</t>
  </si>
  <si>
    <t>SO16</t>
  </si>
  <si>
    <t>Sắt   Ø16</t>
  </si>
  <si>
    <t>SO24</t>
  </si>
  <si>
    <t>Sắt   Ø24</t>
  </si>
  <si>
    <t>EKE300</t>
  </si>
  <si>
    <t>Ê KE 5x300x300\Zn</t>
  </si>
  <si>
    <t>thept6</t>
  </si>
  <si>
    <t>Thép tấm 6mm</t>
  </si>
  <si>
    <t>thept5</t>
  </si>
  <si>
    <t>Thép tấm 5mm</t>
  </si>
  <si>
    <t>thept4</t>
  </si>
  <si>
    <t>Thép tấm 4mm</t>
  </si>
  <si>
    <t>thept2</t>
  </si>
  <si>
    <t>Thép tấm 2mm</t>
  </si>
  <si>
    <t>CL</t>
  </si>
  <si>
    <t>Bộ chống chằng hẹp Ø60/50x1500+2BL12x40+BL16x250/80</t>
  </si>
  <si>
    <t>CLHT</t>
  </si>
  <si>
    <t>Bộ chống chằng hẹp Ø60/50x1200+2BL12x40+BL16x200/50</t>
  </si>
  <si>
    <t>TN1618</t>
  </si>
  <si>
    <t>Ty neo Ø16x1800</t>
  </si>
  <si>
    <t>TN1624</t>
  </si>
  <si>
    <t>Ty neo Ø16x2400</t>
  </si>
  <si>
    <t>TN1824</t>
  </si>
  <si>
    <t>Ty neo Ø18x2400</t>
  </si>
  <si>
    <t>TN2224</t>
  </si>
  <si>
    <t>Ty neo Ø22x2400</t>
  </si>
  <si>
    <t>TN30</t>
  </si>
  <si>
    <t>Ty neo Ø22x3000</t>
  </si>
  <si>
    <t>TN37</t>
  </si>
  <si>
    <t>Ty neo Ø22x3700</t>
  </si>
  <si>
    <t>NX</t>
  </si>
  <si>
    <t>Neo xòe 8 hướng (dày 3,2mm)</t>
  </si>
  <si>
    <t>CD142</t>
  </si>
  <si>
    <t>06.3231</t>
  </si>
  <si>
    <t>Cổ dê CD.X-142</t>
  </si>
  <si>
    <t>CD142a</t>
  </si>
  <si>
    <t>Cổ dê CD.X-142A</t>
  </si>
  <si>
    <t>CD146</t>
  </si>
  <si>
    <t>Cổ dê CD.X-146</t>
  </si>
  <si>
    <t>CD146a</t>
  </si>
  <si>
    <t>Cổ dê CD.X-146A</t>
  </si>
  <si>
    <t>CD682</t>
  </si>
  <si>
    <t>Cổ dê 6,82kg</t>
  </si>
  <si>
    <t>LCD</t>
  </si>
  <si>
    <t>06.2110</t>
  </si>
  <si>
    <t>Lắp cổ dề</t>
  </si>
  <si>
    <t>CD21</t>
  </si>
  <si>
    <t>Cổ dê kẹp ống PVC  21</t>
  </si>
  <si>
    <t>CD21S10</t>
  </si>
  <si>
    <t>Cổ dê kẹp sắt Ø 10</t>
  </si>
  <si>
    <t>CD60</t>
  </si>
  <si>
    <t>Cổ dê kẹp ống PVC Ø 60</t>
  </si>
  <si>
    <t>CD90</t>
  </si>
  <si>
    <t>Cổ dê kẹp ống PVC Ø 90</t>
  </si>
  <si>
    <t>CD114</t>
  </si>
  <si>
    <t>Cổ dê kẹp ống PVC Ø 114</t>
  </si>
  <si>
    <t>CD140</t>
  </si>
  <si>
    <t>Cổ dê kẹp ống PVC Ø 140</t>
  </si>
  <si>
    <t>CD140TK</t>
  </si>
  <si>
    <t>Cổ dê kẹp ống sắt Ø 140</t>
  </si>
  <si>
    <t>CD195</t>
  </si>
  <si>
    <t>Cổ dê Ø 195 nẹp trụ</t>
  </si>
  <si>
    <t>CD207</t>
  </si>
  <si>
    <t>Cổ dê Ø 207 nẹp trụ</t>
  </si>
  <si>
    <t>CD220</t>
  </si>
  <si>
    <t>Cổ dê Ø 220 nẹp trụ</t>
  </si>
  <si>
    <t>CD240</t>
  </si>
  <si>
    <t>Cổ dê  Ø 240-Fe 8x100</t>
  </si>
  <si>
    <t>CD250</t>
  </si>
  <si>
    <t>Cổ dê Ø 250-Fe 8x100</t>
  </si>
  <si>
    <t>CD320</t>
  </si>
  <si>
    <t>Cổ dê CDĐKĐT( bắt thùng điện kế)</t>
  </si>
  <si>
    <t>Cdtrudoi</t>
  </si>
  <si>
    <t>Cổ dê trụ đôi bắt sứ treo</t>
  </si>
  <si>
    <t>CdtrudoiHT</t>
  </si>
  <si>
    <t xml:space="preserve">Cổ dê trụ đôi 8,4m bắt móc dừng </t>
  </si>
  <si>
    <t>Cdedaucap</t>
  </si>
  <si>
    <t xml:space="preserve">Cổ dê giữ dầu cáp+Bulon </t>
  </si>
  <si>
    <t>Cdtrudoi140</t>
  </si>
  <si>
    <t xml:space="preserve">Cổ dê giữ ống D140 vào trụ đôi + Bulon </t>
  </si>
  <si>
    <t>Cdtru140</t>
  </si>
  <si>
    <t xml:space="preserve">Cổ dê giữ ống D140 vào trụ + Bulon </t>
  </si>
  <si>
    <t>Cdeoptru</t>
  </si>
  <si>
    <t xml:space="preserve">Cổ dê giữ ống PVC D168+Bulon </t>
  </si>
  <si>
    <t>CD bắt xà</t>
  </si>
  <si>
    <t>Cổ dê bắt xà + bulon</t>
  </si>
  <si>
    <t>CD30x3</t>
  </si>
  <si>
    <t>Côllier 30x3 (290-320)</t>
  </si>
  <si>
    <t>CD25x2</t>
  </si>
  <si>
    <t>Côllier 25x2</t>
  </si>
  <si>
    <t>CD21T</t>
  </si>
  <si>
    <t>Cổ dê giữ ống PVC Ø 21 vào tường + Bulon + long đền + tắc kê sắt</t>
  </si>
  <si>
    <t>Cd42T</t>
  </si>
  <si>
    <t>Cổ dê giữ ống PVC D42</t>
  </si>
  <si>
    <t>Cd114T</t>
  </si>
  <si>
    <t>Cổ dê giữ 2 ống PVC D114 vào tường+Boulon+long đền+tắc ke sắt</t>
  </si>
  <si>
    <t>Cd140T</t>
  </si>
  <si>
    <t>Cổ dê giữ ống STK D140 vào tường+Boulon+long đền+tắc ke sắt</t>
  </si>
  <si>
    <t>CD5x50</t>
  </si>
  <si>
    <t>Cổ dê bắt tủ</t>
  </si>
  <si>
    <t>CDXA</t>
  </si>
  <si>
    <t xml:space="preserve">Cổ dê chống lắc 8x80x800 </t>
  </si>
  <si>
    <t>COM110x800x5-2,4</t>
  </si>
  <si>
    <t>Xà composite 110x800x5 dài 2,4m</t>
  </si>
  <si>
    <t>COM110x800x5-2,6</t>
  </si>
  <si>
    <t>Xà composite 110x800x5 dài 2,6m</t>
  </si>
  <si>
    <t>COM08</t>
  </si>
  <si>
    <t>Đà composite 0,8m</t>
  </si>
  <si>
    <t>COM08-720</t>
  </si>
  <si>
    <t>Đà composite 0,8m + Thanh chống đà 720</t>
  </si>
  <si>
    <t>COM08X720</t>
  </si>
  <si>
    <t>Thanh chống đà 720</t>
  </si>
  <si>
    <t>COM110x800x5</t>
  </si>
  <si>
    <t>Xà composite 110x800x5</t>
  </si>
  <si>
    <t>m</t>
  </si>
  <si>
    <t>COM40X10X920</t>
  </si>
  <si>
    <t>Chống composite 40x10x920</t>
  </si>
  <si>
    <t>T75</t>
  </si>
  <si>
    <t>Trụ BTLT 7,5m F200 dự ứng lực</t>
  </si>
  <si>
    <t>T84</t>
  </si>
  <si>
    <t>Trụ BTLT 8,4m F200 dự ứng lực</t>
  </si>
  <si>
    <t>T84td</t>
  </si>
  <si>
    <t>Trụ BTLT 8,4m F200 dự ứng lực có dây tiếp địa</t>
  </si>
  <si>
    <t>T85</t>
  </si>
  <si>
    <t>Trụ BTLT 8,5m F200 dự ứng lực</t>
  </si>
  <si>
    <t>T10</t>
  </si>
  <si>
    <t>Trụ BTLT 10,5m F480 dự ứng lực</t>
  </si>
  <si>
    <t>T105</t>
  </si>
  <si>
    <t>Trụ BTLT 10,5m F350 dự ứng lực</t>
  </si>
  <si>
    <t>T12</t>
  </si>
  <si>
    <t>Trụ BTLT 12m F350 dự ứng lực</t>
  </si>
  <si>
    <t>T12TĐ</t>
  </si>
  <si>
    <t>Trụ BTLT 12m F350 dự ứng lực (tiếp địa có sẵn)</t>
  </si>
  <si>
    <t>T14</t>
  </si>
  <si>
    <t>Trụ BTLT 14m F650 dự ứng lực</t>
  </si>
  <si>
    <t>T20</t>
  </si>
  <si>
    <t>Trụ BTLT 20m F1000 dự ứng lực</t>
  </si>
  <si>
    <t>SON</t>
  </si>
  <si>
    <t>Sơn màu</t>
  </si>
  <si>
    <t>SONCR</t>
  </si>
  <si>
    <t>Sơn chống rỉ</t>
  </si>
  <si>
    <t>NU</t>
  </si>
  <si>
    <t>Nước đổ bê tông</t>
  </si>
  <si>
    <t>GO</t>
  </si>
  <si>
    <t>Gỗ ván khuôn</t>
  </si>
  <si>
    <t>DINH</t>
  </si>
  <si>
    <t>Đinh các loại</t>
  </si>
  <si>
    <t>D1x2</t>
  </si>
  <si>
    <t>Đá 1x2</t>
  </si>
  <si>
    <t>D0x4</t>
  </si>
  <si>
    <t>Đá 0x4</t>
  </si>
  <si>
    <t>D2x4</t>
  </si>
  <si>
    <t>Đá 2x4</t>
  </si>
  <si>
    <t>D4x6</t>
  </si>
  <si>
    <t>Đá 4x6</t>
  </si>
  <si>
    <t>cat</t>
  </si>
  <si>
    <t>Cát vàng</t>
  </si>
  <si>
    <t>gachong</t>
  </si>
  <si>
    <t>Gạch ống</t>
  </si>
  <si>
    <t>viên</t>
  </si>
  <si>
    <t>gachtau</t>
  </si>
  <si>
    <t>Gạch tàu</t>
  </si>
  <si>
    <t>gachthe</t>
  </si>
  <si>
    <t>Gạch thẻ</t>
  </si>
  <si>
    <t>XM</t>
  </si>
  <si>
    <t xml:space="preserve">Ximăng </t>
  </si>
  <si>
    <t>qhan</t>
  </si>
  <si>
    <t>Que hàn điện</t>
  </si>
  <si>
    <t>coson</t>
  </si>
  <si>
    <t>Cọ sơn</t>
  </si>
  <si>
    <t>Nilong</t>
  </si>
  <si>
    <t>Tấm nilông màu cảnh báo</t>
  </si>
  <si>
    <t>NLON</t>
  </si>
  <si>
    <t>Nylon làm dấu khổ 0.6m</t>
  </si>
  <si>
    <t>thepb</t>
  </si>
  <si>
    <t>Dây thép buộc A70</t>
  </si>
  <si>
    <t>daucap50</t>
  </si>
  <si>
    <t>Đầu cáp ngầm 24KV 3x50mm2 outdoor</t>
  </si>
  <si>
    <t>daucap70</t>
  </si>
  <si>
    <t>Đầu cáp ngầm 24KV 3x70mm2 outdoor</t>
  </si>
  <si>
    <t>daucap95</t>
  </si>
  <si>
    <t>Đầu cáp ngầm 24KV 3x95mm2 outdoor</t>
  </si>
  <si>
    <t>daucap120</t>
  </si>
  <si>
    <t>Đầu cáp ngầm 24KV 3x120mm2 outdoor</t>
  </si>
  <si>
    <t>daucap150</t>
  </si>
  <si>
    <t>Đầu cáp ngầm 24kV 3x150mm2 outdoor</t>
  </si>
  <si>
    <t>daucap185</t>
  </si>
  <si>
    <t>Đầu cáp ngầm 24kV 3x185mm2 outdoor</t>
  </si>
  <si>
    <t>daucap240</t>
  </si>
  <si>
    <t>Đầu cáp ngầm 24kV 3x240mm2 outdoor</t>
  </si>
  <si>
    <t>daucap50in</t>
  </si>
  <si>
    <t>Đầu cáp ngầm 24KV 3x50mm2 indoor</t>
  </si>
  <si>
    <t>daucap70in</t>
  </si>
  <si>
    <t>Đầu cáp ngầm 24KV 3x70mm2 indoor</t>
  </si>
  <si>
    <t>daucap95in</t>
  </si>
  <si>
    <t>Đầu cáp ngầm 24KV 3x95mm2 indoor</t>
  </si>
  <si>
    <t>daucap120in</t>
  </si>
  <si>
    <t>Đầu cáp ngầm 24KV 3x120mm2 indoor</t>
  </si>
  <si>
    <t>daucap150in</t>
  </si>
  <si>
    <t>Đầu cáp ngầm 24kV 3x150mm2 indoor</t>
  </si>
  <si>
    <t>daucap185in</t>
  </si>
  <si>
    <t>Đầu cáp ngầm 24kV 3x185mm2 indoor</t>
  </si>
  <si>
    <t>daucap240in</t>
  </si>
  <si>
    <t>Đầu cáp ngầm 24kV 3x240mm2 indoor</t>
  </si>
  <si>
    <t>DCAPHT3185</t>
  </si>
  <si>
    <t>Đầu cáp ngầm hạ thế 3x185+120mm2</t>
  </si>
  <si>
    <t>DCAPHT3120</t>
  </si>
  <si>
    <t>Đầu cáp ngầm hạ thế 3x120+70mm2</t>
  </si>
  <si>
    <t>DCAPHT395</t>
  </si>
  <si>
    <t>Đầu cáp ngầm hạ thế 3x95+50mm2</t>
  </si>
  <si>
    <t>DCAPHT370</t>
  </si>
  <si>
    <t>Đầu cáp ngầm hạ thế 3x70+50mm2</t>
  </si>
  <si>
    <t>DCAPHT350+35</t>
  </si>
  <si>
    <t>Đầu cáp ngầm hạ thế 3x50+35mm2</t>
  </si>
  <si>
    <t>DCAPHT350</t>
  </si>
  <si>
    <t>Đầu cáp ngầm hạ thế 3x50</t>
  </si>
  <si>
    <t>stk42</t>
  </si>
  <si>
    <t>ÔÁng sắt tráng kẽm D42</t>
  </si>
  <si>
    <t>stk60</t>
  </si>
  <si>
    <t>ÔÁng sắt tráng kẽm D60</t>
  </si>
  <si>
    <t>stk90</t>
  </si>
  <si>
    <t>07.2204</t>
  </si>
  <si>
    <t>ÔÁng sắt tráng kẽm D90</t>
  </si>
  <si>
    <t>stk114</t>
  </si>
  <si>
    <t>ÔÁng sắt tráng kẽm D114</t>
  </si>
  <si>
    <t>stk140</t>
  </si>
  <si>
    <t>ÔÁng sắt tráng kẽm D140</t>
  </si>
  <si>
    <t>stk160</t>
  </si>
  <si>
    <t>ÔÁng sắt tráng kẽm D160</t>
  </si>
  <si>
    <t>stk168</t>
  </si>
  <si>
    <t>ÔÁng sắt tráng kẽm D168</t>
  </si>
  <si>
    <t>costk114</t>
  </si>
  <si>
    <t>Măng sông STK 114</t>
  </si>
  <si>
    <t>costk90</t>
  </si>
  <si>
    <t>Măng sông STK 90</t>
  </si>
  <si>
    <t>YC</t>
  </si>
  <si>
    <t>Yếm cáp dày 2mm</t>
  </si>
  <si>
    <t>Bảng kê đơn Giá nhân công  ( 67/1999/QĐ-BCN )</t>
  </si>
  <si>
    <t>Mã</t>
  </si>
  <si>
    <t>Công việc</t>
  </si>
  <si>
    <t>HỆ</t>
  </si>
  <si>
    <t>MDDA1</t>
  </si>
  <si>
    <t>03.8133</t>
  </si>
  <si>
    <t>Phá đá chân hố móng, đá cấp I</t>
  </si>
  <si>
    <t>MDDA2</t>
  </si>
  <si>
    <t>Phá đá chân hố móng, đá cấp II</t>
  </si>
  <si>
    <t>MDD11</t>
  </si>
  <si>
    <t>03.1101</t>
  </si>
  <si>
    <t>Đào hố móng đất cấp 1 sâu &lt;=1m</t>
  </si>
  <si>
    <t>MDD21</t>
  </si>
  <si>
    <t>03.1102</t>
  </si>
  <si>
    <t>Đào hố móng đất cấp 2 sâu &lt;=1m</t>
  </si>
  <si>
    <t>MDD31</t>
  </si>
  <si>
    <t>03.1103</t>
  </si>
  <si>
    <t>Đào hố móng đất cấp 3 sâu &lt;=1m</t>
  </si>
  <si>
    <t>MDD41</t>
  </si>
  <si>
    <t>03.1104</t>
  </si>
  <si>
    <t>Đào hố móng đất cấp 4 sâu &lt;=1m</t>
  </si>
  <si>
    <t>MDD2</t>
  </si>
  <si>
    <t>03.1112</t>
  </si>
  <si>
    <t>Đào hố móng đất cấp 2 sâu &gt;1m</t>
  </si>
  <si>
    <t>MDD3</t>
  </si>
  <si>
    <t>03.1013</t>
  </si>
  <si>
    <t>Đào hố móng đất cấp 3 sâu &gt;1m DT&lt;5m2</t>
  </si>
  <si>
    <t>AH2120</t>
  </si>
  <si>
    <t>03.1113</t>
  </si>
  <si>
    <t>Khoan cắt BT bằng máy khoan cằm tay</t>
  </si>
  <si>
    <t>MDD4</t>
  </si>
  <si>
    <t>03.1114</t>
  </si>
  <si>
    <t>Đào hố móng đất cấp 4 sâu &gt;1m</t>
  </si>
  <si>
    <t>MDAP1</t>
  </si>
  <si>
    <t>03.2201</t>
  </si>
  <si>
    <t>Đắp đất hố móng, đất cấp 1</t>
  </si>
  <si>
    <t>MDAP2</t>
  </si>
  <si>
    <t>03.2202</t>
  </si>
  <si>
    <t>Đắp đất hố móng, đất cấp 2</t>
  </si>
  <si>
    <t>MDAP3</t>
  </si>
  <si>
    <t>03.4113</t>
  </si>
  <si>
    <t>Đắp đất hố móng, độ chặt k=0,95</t>
  </si>
  <si>
    <t>MDAP4</t>
  </si>
  <si>
    <t>03.2203</t>
  </si>
  <si>
    <t>Đắp đất hố móng, đất cấp 4</t>
  </si>
  <si>
    <t>DMC2</t>
  </si>
  <si>
    <t>03.3102</t>
  </si>
  <si>
    <t>Đào mương cáp ngầm đất cấp 2</t>
  </si>
  <si>
    <t>DMC3</t>
  </si>
  <si>
    <t>03.3103</t>
  </si>
  <si>
    <t>Đào mương cáp ngầm đất cấp 3</t>
  </si>
  <si>
    <t>DMC4</t>
  </si>
  <si>
    <t>03.3104</t>
  </si>
  <si>
    <t>Đào mương cáp ngầm đất cấp 4</t>
  </si>
  <si>
    <t>DDMC2</t>
  </si>
  <si>
    <t>03.3202</t>
  </si>
  <si>
    <t>Đắp đất mương cáp ngầm, đất cấp 2</t>
  </si>
  <si>
    <t>DDMC3</t>
  </si>
  <si>
    <t>03.3203</t>
  </si>
  <si>
    <t>Đắp đất mương cáp ngầm, đất cấp 3</t>
  </si>
  <si>
    <t>DDMC4</t>
  </si>
  <si>
    <t>Đắp đất mương cáp ngầm, đất cấp 4</t>
  </si>
  <si>
    <t>DCAT</t>
  </si>
  <si>
    <t>03.7000</t>
  </si>
  <si>
    <t xml:space="preserve">Đắp cát </t>
  </si>
  <si>
    <t>DD1x2</t>
  </si>
  <si>
    <t>Đắp đá 1x2</t>
  </si>
  <si>
    <t>DD2x4</t>
  </si>
  <si>
    <t>Đắp đá 2x4</t>
  </si>
  <si>
    <t>DTD2</t>
  </si>
  <si>
    <t>Đào rãnh tiếp địa đất cấp 2</t>
  </si>
  <si>
    <t>DTD3</t>
  </si>
  <si>
    <t>03.3123</t>
  </si>
  <si>
    <t>Đào rãnh tiếp địa đất cấp 3</t>
  </si>
  <si>
    <t>DTD4</t>
  </si>
  <si>
    <t>Đào rãnh tiếp địa đất cấp 4</t>
  </si>
  <si>
    <t>DATD2</t>
  </si>
  <si>
    <t>Đắp đất rãnh tiếp địa cấp 2</t>
  </si>
  <si>
    <t>DATD3</t>
  </si>
  <si>
    <t>03.4123</t>
  </si>
  <si>
    <t>Đắp đất rãnh tiếp độ chặt k=0,95</t>
  </si>
  <si>
    <t>DATD4</t>
  </si>
  <si>
    <t>Đắp đất rãnh tiếp địa cấp 4</t>
  </si>
  <si>
    <t>LGIA</t>
  </si>
  <si>
    <t>05.6101</t>
  </si>
  <si>
    <t>Lắp Giá đỡ cáp</t>
  </si>
  <si>
    <t>lapkep</t>
  </si>
  <si>
    <t>04.3107</t>
  </si>
  <si>
    <t>Lắp kẹp các loại</t>
  </si>
  <si>
    <t>LGACH</t>
  </si>
  <si>
    <t>07.2104</t>
  </si>
  <si>
    <t>Lắp gạch làm dấu</t>
  </si>
  <si>
    <t>LNLON</t>
  </si>
  <si>
    <t>Lắp Nylon làm dấu</t>
  </si>
  <si>
    <t xml:space="preserve">M12 </t>
  </si>
  <si>
    <t>Đặt đà cản 1,2m</t>
  </si>
  <si>
    <t>M15</t>
  </si>
  <si>
    <t>Đặt đà cản 1,5m</t>
  </si>
  <si>
    <t>MD25</t>
  </si>
  <si>
    <t xml:space="preserve">Đặt đà cản 2,5m </t>
  </si>
  <si>
    <t>DCT25</t>
  </si>
  <si>
    <t>Đóng cừ tràm 2,5 m</t>
  </si>
  <si>
    <t>DCT30</t>
  </si>
  <si>
    <t>Đóng cừ tràm 3 m</t>
  </si>
  <si>
    <t>DCT50</t>
  </si>
  <si>
    <t>Đóng cừ tràm 5 m</t>
  </si>
  <si>
    <t>QBT</t>
  </si>
  <si>
    <t>Quét nhựa bi tum nóng (0,2kg/m2)</t>
  </si>
  <si>
    <t>VCDA1</t>
  </si>
  <si>
    <t>02.1451</t>
  </si>
  <si>
    <t>V/c đà cản vào vị trí (cự ly &lt;=100m)</t>
  </si>
  <si>
    <t>tấn</t>
  </si>
  <si>
    <t>VCDA2</t>
  </si>
  <si>
    <t>02.1452</t>
  </si>
  <si>
    <t>V/c đà cản vào vị trí (cự ly &lt;=300m)</t>
  </si>
  <si>
    <t>VCDA3</t>
  </si>
  <si>
    <t>02.1453</t>
  </si>
  <si>
    <t>V/c đà cản vào vị trí (cự ly &lt;=500m)</t>
  </si>
  <si>
    <t>VCDA4</t>
  </si>
  <si>
    <t>02.1454</t>
  </si>
  <si>
    <t>V/c đà cản vào vị trí (cự ly&gt;500m)</t>
  </si>
  <si>
    <t>VCDN1</t>
  </si>
  <si>
    <t>V/c đế néo vào vị trí (cự ly &lt;=100m)</t>
  </si>
  <si>
    <t>VCDN2</t>
  </si>
  <si>
    <t>V/c đế néo vào vị trí (cự ly &lt;=300m)</t>
  </si>
  <si>
    <t>VCDN3</t>
  </si>
  <si>
    <t>V/c đế néo vào vị trí (cự ly &lt;=500m)</t>
  </si>
  <si>
    <t>VCDN4</t>
  </si>
  <si>
    <t>V/c đế néo vào vị trí (cự ly&gt;500m)</t>
  </si>
  <si>
    <t>VCNX1</t>
  </si>
  <si>
    <t>02.1421</t>
  </si>
  <si>
    <t>V/c neo xòe vào vị trí (cự ly &lt;=100m)</t>
  </si>
  <si>
    <t>VCNX2</t>
  </si>
  <si>
    <t>02.1422</t>
  </si>
  <si>
    <t>V/c neo xòe vào vị trí (cự ly &lt;=300m)</t>
  </si>
  <si>
    <t>VCNX3</t>
  </si>
  <si>
    <t>02.1423</t>
  </si>
  <si>
    <t>V/c neo xòe vào vị trí (cự ly &lt;=500m)</t>
  </si>
  <si>
    <t>VCNX4</t>
  </si>
  <si>
    <t>02.1424</t>
  </si>
  <si>
    <t>V/c neo xòe vào vị trí (cự ly&gt;500m)</t>
  </si>
  <si>
    <t>VCC1</t>
  </si>
  <si>
    <t>02.1461</t>
  </si>
  <si>
    <t>V/c cột vào vị trí (cự ly &lt;=100m)</t>
  </si>
  <si>
    <t>VCC2</t>
  </si>
  <si>
    <t>02.1462</t>
  </si>
  <si>
    <t>V/c cột vào vị trí (cự ly &lt;=300m)</t>
  </si>
  <si>
    <t>VCC3</t>
  </si>
  <si>
    <t>02.1463</t>
  </si>
  <si>
    <t>V/c cột vào vị trí (cự ly &lt;=500m)</t>
  </si>
  <si>
    <t>VCC4</t>
  </si>
  <si>
    <t>02.1464</t>
  </si>
  <si>
    <t>V/c cột vào vị trí (cự ly &gt;500m)</t>
  </si>
  <si>
    <t>VCPK1</t>
  </si>
  <si>
    <t>V/c phụ kiện vào vị trí ( cự ly &lt;=100m)</t>
  </si>
  <si>
    <t>VCPK2</t>
  </si>
  <si>
    <t>V/c phụ kiện vào vị trí ( cự ly &lt;=300m)</t>
  </si>
  <si>
    <t>VCPK3</t>
  </si>
  <si>
    <t>V/c phụ kiện vào vị trí ( cự ly &lt;=500m)</t>
  </si>
  <si>
    <t>VCPK4</t>
  </si>
  <si>
    <t>V/c phụ kiện vào vị trí ( cự ly &gt;500m)</t>
  </si>
  <si>
    <t>VCTD1</t>
  </si>
  <si>
    <t>02.1351</t>
  </si>
  <si>
    <t>V/c tiếp địa vào vị trí ( cự ly &lt;=100m)</t>
  </si>
  <si>
    <t>VCTD2</t>
  </si>
  <si>
    <t>02.1352</t>
  </si>
  <si>
    <t>V/c tiếp địa vào vị trí ( cự ly &lt;=300m)</t>
  </si>
  <si>
    <t>VCTD3</t>
  </si>
  <si>
    <t>02.1353</t>
  </si>
  <si>
    <t>V/c tiếp địa vào vị trí ( cự ly &lt;=500m)</t>
  </si>
  <si>
    <t>VCTD4</t>
  </si>
  <si>
    <t>02.1354</t>
  </si>
  <si>
    <t>V/c tiếp địa vào vị trí ( cự ly &gt;500m)</t>
  </si>
  <si>
    <t>VCD1</t>
  </si>
  <si>
    <t>02.1441</t>
  </si>
  <si>
    <t>V/c dây vào vị trí (cự ly &lt;=100m)</t>
  </si>
  <si>
    <t>VCD2</t>
  </si>
  <si>
    <t>02.1442</t>
  </si>
  <si>
    <t>V/c dây vào vị trí (cự ly &lt;=300m)</t>
  </si>
  <si>
    <t>VCD3</t>
  </si>
  <si>
    <t>02.1443</t>
  </si>
  <si>
    <t>V/c dây vào vị trí (cự ly &lt;=500m)</t>
  </si>
  <si>
    <t>VCD4</t>
  </si>
  <si>
    <t>02.1444</t>
  </si>
  <si>
    <t>V/c dây vào vị trí (cự ly &gt; 500m)</t>
  </si>
  <si>
    <t>VCS1</t>
  </si>
  <si>
    <t>02.1431</t>
  </si>
  <si>
    <t>V/c sứ và phụ kiện vào vị trí (cự ly &lt;=100m)</t>
  </si>
  <si>
    <t>VCS2</t>
  </si>
  <si>
    <t>02.1432</t>
  </si>
  <si>
    <t>V/c sứ và phụ kiện vào vị trí (cự ly &lt;=300m)</t>
  </si>
  <si>
    <t>VCS3</t>
  </si>
  <si>
    <t>02.1433</t>
  </si>
  <si>
    <t>V/c sứ và phụ kiện vào vị trí (cự ly &lt;=500m)</t>
  </si>
  <si>
    <t>VCS4</t>
  </si>
  <si>
    <t>02.1434</t>
  </si>
  <si>
    <t>V/c sứ và phụ kiện vào vị trí (cự ly &gt; 500m)</t>
  </si>
  <si>
    <t>VCX1</t>
  </si>
  <si>
    <t>02.1361</t>
  </si>
  <si>
    <t>V/c xà vào vị trí (cư ly &lt;=100m)</t>
  </si>
  <si>
    <t>VCX2</t>
  </si>
  <si>
    <t>02.1362</t>
  </si>
  <si>
    <t>V/c xà vào vị trí (cư ly &lt;=300m)</t>
  </si>
  <si>
    <t>VCX3</t>
  </si>
  <si>
    <t>02.1363</t>
  </si>
  <si>
    <t>V/c xà vào vị trí (cư ly &lt;=500m)</t>
  </si>
  <si>
    <t>VCX4</t>
  </si>
  <si>
    <t>02.1364</t>
  </si>
  <si>
    <t>V/c xà vào vị trí (cư ly &gt;500m)</t>
  </si>
  <si>
    <t>VCDC1</t>
  </si>
  <si>
    <t>02.1482</t>
  </si>
  <si>
    <t>V/c dụng cụ thi công ( cự ly &lt;=100m)</t>
  </si>
  <si>
    <t>VCDC2</t>
  </si>
  <si>
    <t>02.1483</t>
  </si>
  <si>
    <t>V/c dụng cụ thi công ( cự ly &lt;=300m)</t>
  </si>
  <si>
    <t>VCDC3</t>
  </si>
  <si>
    <t>02.1484</t>
  </si>
  <si>
    <t>V/c dụng cụ thi công ( cự ly &lt;=500m)</t>
  </si>
  <si>
    <t>VCDC4</t>
  </si>
  <si>
    <t>02.1485</t>
  </si>
  <si>
    <t>V/c dụng cụ thi công ( cự ly &gt; 500m)</t>
  </si>
  <si>
    <t>VCCT1</t>
  </si>
  <si>
    <t>02.1391</t>
  </si>
  <si>
    <t>V/c cừ tràm 2,5 -3m( cự ly &lt;=100m)</t>
  </si>
  <si>
    <t>VCCT2</t>
  </si>
  <si>
    <t>02.1392</t>
  </si>
  <si>
    <t>V/c cừ tràm 2,5-3m ( cự ly &lt;=300m)</t>
  </si>
  <si>
    <t>VCCT3</t>
  </si>
  <si>
    <t>02.1393</t>
  </si>
  <si>
    <t>V/c cừ tràm 2,5-3m ( cự ly &lt;=500m)</t>
  </si>
  <si>
    <t>VCCT4</t>
  </si>
  <si>
    <t>02.1394</t>
  </si>
  <si>
    <t>V/c cừ tràm 2,5-3m ( cự ly &gt; 500m)</t>
  </si>
  <si>
    <t>VCCT5</t>
  </si>
  <si>
    <t>02.1411</t>
  </si>
  <si>
    <t>V/c cừ tràm 5m ( cự ly &lt;=100m)</t>
  </si>
  <si>
    <t>VCCT6</t>
  </si>
  <si>
    <t>02.1412</t>
  </si>
  <si>
    <t>V/c cừ tràm 5m ( cự ly &lt;=300m)</t>
  </si>
  <si>
    <t>VCCT7</t>
  </si>
  <si>
    <t>02.1413</t>
  </si>
  <si>
    <t>V/c cừ tràm 5m ( cự ly &lt;=500m)</t>
  </si>
  <si>
    <t>VCCT8</t>
  </si>
  <si>
    <t>02.1414</t>
  </si>
  <si>
    <t>V/c cừ tràm 5m ( cự ly &gt; 500m)</t>
  </si>
  <si>
    <t>VCXM1</t>
  </si>
  <si>
    <t>02.1211</t>
  </si>
  <si>
    <t>V/c xi măng ( cự ly &lt;=100m)</t>
  </si>
  <si>
    <t>VCXM2</t>
  </si>
  <si>
    <t>02.1212</t>
  </si>
  <si>
    <t>V/c xi măng ( cự ly &lt;=300m)</t>
  </si>
  <si>
    <t>VCXM3</t>
  </si>
  <si>
    <t>02.1213</t>
  </si>
  <si>
    <t>V/c xi măng ( cự ly &lt;=500m)</t>
  </si>
  <si>
    <t>VCXM4</t>
  </si>
  <si>
    <t>02.1214</t>
  </si>
  <si>
    <t>V/c xi măng ( cự ly &gt;500m)</t>
  </si>
  <si>
    <t>VCLD1</t>
  </si>
  <si>
    <t>02.1241</t>
  </si>
  <si>
    <t>V/c đá dăm ( cự ly &lt;=100m)</t>
  </si>
  <si>
    <t>VCLD2</t>
  </si>
  <si>
    <t>02.1242</t>
  </si>
  <si>
    <t>V/c đá dăm ( cự ly &lt;=300m)</t>
  </si>
  <si>
    <t>VCLD3</t>
  </si>
  <si>
    <t>02.1243</t>
  </si>
  <si>
    <t>V/c đá dăm ( cự ly &lt;=500m)</t>
  </si>
  <si>
    <t>VCLD4</t>
  </si>
  <si>
    <t>02.1244</t>
  </si>
  <si>
    <t>V/c đá dăm ( cự ly &gt;500m)</t>
  </si>
  <si>
    <t>VCDAT1</t>
  </si>
  <si>
    <t>02.1264</t>
  </si>
  <si>
    <t>V/c đất đi đổ ( cự ly &gt;500m) Cấp I</t>
  </si>
  <si>
    <t>VCDAT2</t>
  </si>
  <si>
    <t>02.1274</t>
  </si>
  <si>
    <t>V/c đất đi đổ ( cự ly &gt;500m) Cấp II</t>
  </si>
  <si>
    <t>VCDAT3</t>
  </si>
  <si>
    <t>02.1284</t>
  </si>
  <si>
    <t>V/c đất đi đổ ( cự ly &gt;500m) Cấp III</t>
  </si>
  <si>
    <t>VCDAT4</t>
  </si>
  <si>
    <t>02.1294</t>
  </si>
  <si>
    <t>V/c đất đi đổ ( cự ly &gt;500m) Cấp IV</t>
  </si>
  <si>
    <t>VCCAT1D</t>
  </si>
  <si>
    <t>021221</t>
  </si>
  <si>
    <t>V/c cát đen cự ly &lt;=100m</t>
  </si>
  <si>
    <t>VCCAT2d</t>
  </si>
  <si>
    <t>021222</t>
  </si>
  <si>
    <t>V/c cát đen cự ly &lt;=300m</t>
  </si>
  <si>
    <t>VCCAT3d</t>
  </si>
  <si>
    <t>021223</t>
  </si>
  <si>
    <t>V/c cát đen cự ly &lt;=500m</t>
  </si>
  <si>
    <t>VCCAT4d</t>
  </si>
  <si>
    <t>021224</t>
  </si>
  <si>
    <t>V/c cát đen cự ly &gt;500m</t>
  </si>
  <si>
    <t>VCCAT1</t>
  </si>
  <si>
    <t>02.1231</t>
  </si>
  <si>
    <t>V/c cát vàng cự ly &lt;=100m</t>
  </si>
  <si>
    <t>VCCAT2</t>
  </si>
  <si>
    <t>02.1232</t>
  </si>
  <si>
    <t>V/c cát vàng cự ly &lt;=300m</t>
  </si>
  <si>
    <t>VCCAT3</t>
  </si>
  <si>
    <t>02.1233</t>
  </si>
  <si>
    <t>V/c cát vàng cự ly &lt;=500m</t>
  </si>
  <si>
    <t>VCCAT4</t>
  </si>
  <si>
    <t>02.1234</t>
  </si>
  <si>
    <t>V/c cát cự vàng ly &gt;500m</t>
  </si>
  <si>
    <t>VCFE1</t>
  </si>
  <si>
    <t>V/c cốt thép ( cự ly &lt;=100m)</t>
  </si>
  <si>
    <t>VCFE2</t>
  </si>
  <si>
    <t>V/c cốt thép ( cự ly &lt;=300m)</t>
  </si>
  <si>
    <t>VCFE3</t>
  </si>
  <si>
    <t>V/c cốt thép ( cự ly &lt;=500m)</t>
  </si>
  <si>
    <t>VCFE4</t>
  </si>
  <si>
    <t>V/c cốt thép ( cự ly &gt;500m)</t>
  </si>
  <si>
    <t>BOCDC</t>
  </si>
  <si>
    <t>02.1123</t>
  </si>
  <si>
    <t>Bốc dỡ đà cản, đế néo</t>
  </si>
  <si>
    <t>BOCNX</t>
  </si>
  <si>
    <t>02.3111</t>
  </si>
  <si>
    <t>Bốc dỡ neo xèo</t>
  </si>
  <si>
    <t>BOCTR</t>
  </si>
  <si>
    <t>02.1124</t>
  </si>
  <si>
    <t xml:space="preserve">Bốc dỡ trụ </t>
  </si>
  <si>
    <t>BOCX</t>
  </si>
  <si>
    <t>02.1115</t>
  </si>
  <si>
    <t>Bốc dỡ xà, thép thanh</t>
  </si>
  <si>
    <t>BOCD</t>
  </si>
  <si>
    <t>02.1122</t>
  </si>
  <si>
    <t>Bốc dỡ dây</t>
  </si>
  <si>
    <t>BOCPK</t>
  </si>
  <si>
    <t>02.1120</t>
  </si>
  <si>
    <t>Bốc dỡ phụ kiện</t>
  </si>
  <si>
    <t>BOCS</t>
  </si>
  <si>
    <t>02.1121</t>
  </si>
  <si>
    <t>Bốc dỡ sứ</t>
  </si>
  <si>
    <t>BOCTH</t>
  </si>
  <si>
    <t>02.1114</t>
  </si>
  <si>
    <t>Bốc dỡ cốt thép</t>
  </si>
  <si>
    <t>BOCXI</t>
  </si>
  <si>
    <t>02.1101</t>
  </si>
  <si>
    <t>Bốc dỡ xi măng</t>
  </si>
  <si>
    <t>BOCCAT</t>
  </si>
  <si>
    <t>02.1103</t>
  </si>
  <si>
    <t>Bốc dỡ cát</t>
  </si>
  <si>
    <t>BOCDA</t>
  </si>
  <si>
    <t>02.1104</t>
  </si>
  <si>
    <t>Bốc dỡ đá dăm</t>
  </si>
  <si>
    <t>BOBT</t>
  </si>
  <si>
    <t>02.1110</t>
  </si>
  <si>
    <t>Bốc dỡ bê tông</t>
  </si>
  <si>
    <t>BOCCT5</t>
  </si>
  <si>
    <t>02.1119</t>
  </si>
  <si>
    <t>Bốc dỡ cừ tràm 5m</t>
  </si>
  <si>
    <t>KTD</t>
  </si>
  <si>
    <t>05.7001</t>
  </si>
  <si>
    <t xml:space="preserve">Kéo dây tiếp địa </t>
  </si>
  <si>
    <t>KTDTBA</t>
  </si>
  <si>
    <t>04.7002</t>
  </si>
  <si>
    <t>Kéo dây tiếp địa trong TBA</t>
  </si>
  <si>
    <t>DCTD3</t>
  </si>
  <si>
    <t>05.8103</t>
  </si>
  <si>
    <t>Đóng cọc tiếp địa đất cấp 3</t>
  </si>
  <si>
    <t>DCTD4</t>
  </si>
  <si>
    <t>05.8003</t>
  </si>
  <si>
    <t>Đóng cọc tiếp địa đất cấp 4</t>
  </si>
  <si>
    <t>DCTDTBA</t>
  </si>
  <si>
    <t>04.7001</t>
  </si>
  <si>
    <t>Đóng cọc tiếp địa trong TBA</t>
  </si>
  <si>
    <t>C8</t>
  </si>
  <si>
    <t>05.5211</t>
  </si>
  <si>
    <t>Dựng trụ BTLT &lt;8m bằng thủ công</t>
  </si>
  <si>
    <t>C10</t>
  </si>
  <si>
    <t>05.5212</t>
  </si>
  <si>
    <t>Dựng trụ BTLT &lt;=10m bằng thủ công</t>
  </si>
  <si>
    <t>C105</t>
  </si>
  <si>
    <t>05.5213</t>
  </si>
  <si>
    <t>Dựng trụ BTLT 10,5m bằng thủ công</t>
  </si>
  <si>
    <t>C12</t>
  </si>
  <si>
    <t>Dựng trụ BTLT 12m bằng thủ công</t>
  </si>
  <si>
    <t>C14</t>
  </si>
  <si>
    <t>05.5214</t>
  </si>
  <si>
    <t>Dựng trụ BTLT 14m bằng thủ công</t>
  </si>
  <si>
    <t>C20</t>
  </si>
  <si>
    <t>05.5217</t>
  </si>
  <si>
    <t>Dựng trụ BTLT 20m bằng thủ công</t>
  </si>
  <si>
    <t>C8m</t>
  </si>
  <si>
    <t>05.5202</t>
  </si>
  <si>
    <t>Dựng trụ BTLT &lt;8m thủ công +cơ giới</t>
  </si>
  <si>
    <t>C10m</t>
  </si>
  <si>
    <t>05.5302</t>
  </si>
  <si>
    <t>Dựng trụ BTLT &lt;10m thủ công +cơ giới</t>
  </si>
  <si>
    <t>C105m</t>
  </si>
  <si>
    <t>05.5402</t>
  </si>
  <si>
    <t>Dựng trụ BTLT 10,5m thủ công + cơ giới</t>
  </si>
  <si>
    <t>C12m</t>
  </si>
  <si>
    <t>Dựng trụ BTLT 12m thủ công + cơ giới</t>
  </si>
  <si>
    <t>C14m</t>
  </si>
  <si>
    <t>05.5224</t>
  </si>
  <si>
    <t>Dựng trụ BTLT 14m thủ công + cơ giới</t>
  </si>
  <si>
    <t>C20m</t>
  </si>
  <si>
    <t>05.5227</t>
  </si>
  <si>
    <t>Dựng trụ BTLT 20m thủ công + cơ giới</t>
  </si>
  <si>
    <t>C12m-TBA</t>
  </si>
  <si>
    <t>04.9203</t>
  </si>
  <si>
    <t>Dựng trụ BTLT 12m trong TBA bằng thủ công + cơ giới</t>
  </si>
  <si>
    <t>C10m-TBA</t>
  </si>
  <si>
    <t>Dựng trụ BTLT 10,5m trong TBA bằng thủ công + cơ giới</t>
  </si>
  <si>
    <t>LXIT</t>
  </si>
  <si>
    <t>05.6401</t>
  </si>
  <si>
    <t>Lắp xà đỡ ≤ 25kg</t>
  </si>
  <si>
    <t>LXITL</t>
  </si>
  <si>
    <t>05.6102</t>
  </si>
  <si>
    <t>Lắp xà đỡ ≤ 50kg</t>
  </si>
  <si>
    <t>LXINN</t>
  </si>
  <si>
    <t>05.6201</t>
  </si>
  <si>
    <t>Lắp xà néo ≤ 25kg</t>
  </si>
  <si>
    <t>LXIN</t>
  </si>
  <si>
    <t>05.6202</t>
  </si>
  <si>
    <t>Lắp xà néo ≤ 50kg</t>
  </si>
  <si>
    <t>LXINL</t>
  </si>
  <si>
    <t>05.6203</t>
  </si>
  <si>
    <t>Lắp xà néo ≤ 100kg</t>
  </si>
  <si>
    <t>LXID</t>
  </si>
  <si>
    <t>05.6301</t>
  </si>
  <si>
    <t>Lắp xà trụ ghép ≤ 140kg</t>
  </si>
  <si>
    <t>LXIDL</t>
  </si>
  <si>
    <t>05.6302</t>
  </si>
  <si>
    <t>Lắp xà trụ ghép ≤ 230kg</t>
  </si>
  <si>
    <t>LXHN1</t>
  </si>
  <si>
    <t>05.6044</t>
  </si>
  <si>
    <t>Lắp xà cột Pi loại ≤140kg/xà</t>
  </si>
  <si>
    <t>LXHN2</t>
  </si>
  <si>
    <t>05.6402</t>
  </si>
  <si>
    <t>Lắp xà cột Pi loại ≤ 230kg/xà</t>
  </si>
  <si>
    <t>LXHN3</t>
  </si>
  <si>
    <t>05.6403</t>
  </si>
  <si>
    <t>Lắp xà cột Pi loại ≤ 320kg/xà</t>
  </si>
  <si>
    <t>LDAUCAP70</t>
  </si>
  <si>
    <t>07.4312</t>
  </si>
  <si>
    <t>Lắp đầu cáp trung thế 3x50mm2, 70mm2</t>
  </si>
  <si>
    <t>LDAUCAP120</t>
  </si>
  <si>
    <t>07.4313</t>
  </si>
  <si>
    <t>Lắp đầu cáp trung thế 3x120mm2, 95mm2</t>
  </si>
  <si>
    <t>LDAUCAP185</t>
  </si>
  <si>
    <t>07.4314</t>
  </si>
  <si>
    <t>Lắp đầu cáp trung thế 3x150mm2, 185mm2</t>
  </si>
  <si>
    <t>LDAUCAP70HT</t>
  </si>
  <si>
    <t>07.4102</t>
  </si>
  <si>
    <t>Lắp đầu cáp hạ thế 3x50mm2, 70mm2</t>
  </si>
  <si>
    <t>LDAUCAP120HT</t>
  </si>
  <si>
    <t>07.4103</t>
  </si>
  <si>
    <t>Lắp đầu cáp hạ thế 3x120mm2, 95mm2</t>
  </si>
  <si>
    <t>LDAUCAP185HT</t>
  </si>
  <si>
    <t>07.4104</t>
  </si>
  <si>
    <t>Lắp đầu cáp hạ thế 3x150mm2, 185mm2</t>
  </si>
  <si>
    <t>XLCD</t>
  </si>
  <si>
    <t>LBAKE</t>
  </si>
  <si>
    <t>Lắp tấm bakelit</t>
  </si>
  <si>
    <t>LCHI</t>
  </si>
  <si>
    <t>Lắp cầu chì 5A</t>
  </si>
  <si>
    <t>LCSD</t>
  </si>
  <si>
    <t>Lắp chân sứ đỉnh</t>
  </si>
  <si>
    <t>LCL</t>
  </si>
  <si>
    <t>05.6011</t>
  </si>
  <si>
    <t>Lắp bộ chống lệch</t>
  </si>
  <si>
    <t>LDN</t>
  </si>
  <si>
    <t>06.3241</t>
  </si>
  <si>
    <t>Lắp bộ dây néo</t>
  </si>
  <si>
    <t>NXOE</t>
  </si>
  <si>
    <t>Đặt neo xòe 8 hướng (dày 3,2mm)</t>
  </si>
  <si>
    <t>LDN0212</t>
  </si>
  <si>
    <t>Đặt đế néo BTCT 200x1200</t>
  </si>
  <si>
    <t>LDN0412</t>
  </si>
  <si>
    <t>Đặt đế néo BTCT 400x1200</t>
  </si>
  <si>
    <t>LDN0415</t>
  </si>
  <si>
    <t>Đặt đế néo BTCT 400x1500</t>
  </si>
  <si>
    <t>LDN0615</t>
  </si>
  <si>
    <t>Đặt đế néo BTCT 600x1500</t>
  </si>
  <si>
    <t>LDN4</t>
  </si>
  <si>
    <t>Đặt đế néo BTCT 500x1200</t>
  </si>
  <si>
    <t>LDN6</t>
  </si>
  <si>
    <t>Đặt đế néo BTCT 500x1500</t>
  </si>
  <si>
    <t>DBT10046</t>
  </si>
  <si>
    <t>04.3112</t>
  </si>
  <si>
    <t>Đổ bê tông mác M100 đá 4x6</t>
  </si>
  <si>
    <t>DBT15012</t>
  </si>
  <si>
    <t>04.1203b</t>
  </si>
  <si>
    <t>Đổ bê tông mác M150 đá 1x2</t>
  </si>
  <si>
    <t>DBT20012</t>
  </si>
  <si>
    <t>04.1203c</t>
  </si>
  <si>
    <t>Đổ bê tông móng trụ &lt;=250cm-M200 đá 1x2</t>
  </si>
  <si>
    <t>LCT10</t>
  </si>
  <si>
    <t>04.5101</t>
  </si>
  <si>
    <t>Gia công và lắp dựng cốt thép D&lt;=10</t>
  </si>
  <si>
    <t>LCT18</t>
  </si>
  <si>
    <t>04.1102</t>
  </si>
  <si>
    <t>Gia công và lắp dựng cốt thép D&lt;=18</t>
  </si>
  <si>
    <t>LCT&gt;18</t>
  </si>
  <si>
    <t>04.1103</t>
  </si>
  <si>
    <t>Gia công và lắp dựng cốt thép D&gt;18</t>
  </si>
  <si>
    <t>LDVANK</t>
  </si>
  <si>
    <t>04.2001</t>
  </si>
  <si>
    <t>Gia công và lắp dựng ván khuôn</t>
  </si>
  <si>
    <t>KDA35</t>
  </si>
  <si>
    <t>06.6123</t>
  </si>
  <si>
    <t>Kéo dây nhôm cỡ dây 35mm2</t>
  </si>
  <si>
    <t>km</t>
  </si>
  <si>
    <t>KDA50</t>
  </si>
  <si>
    <t>06.6124</t>
  </si>
  <si>
    <t>Kéo dây nhôm cỡ dây 50mm2</t>
  </si>
  <si>
    <t>KDA70</t>
  </si>
  <si>
    <t>06.6125</t>
  </si>
  <si>
    <t>Kéo dây nhôm cỡ dây 70mm2</t>
  </si>
  <si>
    <t>KDA95</t>
  </si>
  <si>
    <t>06.6126</t>
  </si>
  <si>
    <t>Kéo dây nhôm cỡ dây 95mm2</t>
  </si>
  <si>
    <t>KDA35B</t>
  </si>
  <si>
    <t>06.6103</t>
  </si>
  <si>
    <t>Kéo dây nhôm bọc 35mm2</t>
  </si>
  <si>
    <t>KDA50B</t>
  </si>
  <si>
    <t>Kéo dây nhôm bọc 50mm2</t>
  </si>
  <si>
    <t>KDA70B</t>
  </si>
  <si>
    <t>06.6105</t>
  </si>
  <si>
    <t>Kéo dây nhôm bọc 70mm2</t>
  </si>
  <si>
    <t>KDA95B</t>
  </si>
  <si>
    <t>06.6106</t>
  </si>
  <si>
    <t>Kéo dây nhôm bọc 95mm2</t>
  </si>
  <si>
    <t>KDA120B</t>
  </si>
  <si>
    <t>06.6107</t>
  </si>
  <si>
    <t>Kéo dây nhôm bọc 120mm2</t>
  </si>
  <si>
    <t>KDA150B</t>
  </si>
  <si>
    <t>06.6108</t>
  </si>
  <si>
    <t>Kéo dây nhôm bọc 150mm2</t>
  </si>
  <si>
    <t>KDA185B</t>
  </si>
  <si>
    <t>06.6109</t>
  </si>
  <si>
    <t>Kéo dây nhôm bọc 185mm2</t>
  </si>
  <si>
    <t>KDA240B</t>
  </si>
  <si>
    <t>06.6110</t>
  </si>
  <si>
    <t>Kéo dây nhôm bọc 240mm2</t>
  </si>
  <si>
    <t>KDAABC150</t>
  </si>
  <si>
    <t>06.7007</t>
  </si>
  <si>
    <t>Kéo dây ABC 4x150mm2</t>
  </si>
  <si>
    <t>KDAABC120</t>
  </si>
  <si>
    <t>Kéo dây ABC 4x120mm2</t>
  </si>
  <si>
    <t>KDAABC95</t>
  </si>
  <si>
    <t>06.7006</t>
  </si>
  <si>
    <t>Kéo dây ABC 3x95mm2</t>
  </si>
  <si>
    <t>KDAABC70</t>
  </si>
  <si>
    <t>06.6505</t>
  </si>
  <si>
    <t>Kéo dây ABC 4x70mm2</t>
  </si>
  <si>
    <t>KDAABC50</t>
  </si>
  <si>
    <t>06.6504</t>
  </si>
  <si>
    <t>Kéo dây ABC 4x50mm2</t>
  </si>
  <si>
    <t>KDAC35</t>
  </si>
  <si>
    <t>Kéo dây nhôm lõi thép cỡ dây 35mm2</t>
  </si>
  <si>
    <t>KDAC50</t>
  </si>
  <si>
    <t>06.6114</t>
  </si>
  <si>
    <t>Kéo dây nhôm lõi thép cỡ dây 50mm2</t>
  </si>
  <si>
    <t>KDAC70</t>
  </si>
  <si>
    <t>Kéo dây nhôm lõi thép cỡ dây 70mm2</t>
  </si>
  <si>
    <t>KDAC95</t>
  </si>
  <si>
    <t>Kéo dây nhôm lõi thép cỡ dây 95mm2</t>
  </si>
  <si>
    <t>KDAC120</t>
  </si>
  <si>
    <t>Kéo dây nhôm lõi thép cỡ dây 120mm2</t>
  </si>
  <si>
    <t>KDAC150</t>
  </si>
  <si>
    <t>Kéo dây nhôm lõi thép cỡ dây 150mm2</t>
  </si>
  <si>
    <t>KDACXV50</t>
  </si>
  <si>
    <t>Kéo dây nhôm bọc cỡ dây 50mm2</t>
  </si>
  <si>
    <t>KDACXV150</t>
  </si>
  <si>
    <t>Kéo dây nhôm lõi thép bọc XLPE cỡ dây 150mm2</t>
  </si>
  <si>
    <t>KDAC185</t>
  </si>
  <si>
    <t>Kéo dây nhôm lõi thép cỡ dây 185mm2</t>
  </si>
  <si>
    <t>KDAC240</t>
  </si>
  <si>
    <t>Kéo dây nhôm lõi thép cỡ dây 240mm2</t>
  </si>
  <si>
    <t>KDM22</t>
  </si>
  <si>
    <t>06.6142</t>
  </si>
  <si>
    <t>Kéo dây đồng trần 22mm2</t>
  </si>
  <si>
    <t>KDM25</t>
  </si>
  <si>
    <t>Kéo dây đồng trần 25mm2</t>
  </si>
  <si>
    <t>KDM35</t>
  </si>
  <si>
    <t>06.6143</t>
  </si>
  <si>
    <t>Kéo dây đồng trần 35mm2</t>
  </si>
  <si>
    <t>KDM48</t>
  </si>
  <si>
    <t>06.6144</t>
  </si>
  <si>
    <t>Kéo dây đồng trần 48mm2</t>
  </si>
  <si>
    <t>KDM50</t>
  </si>
  <si>
    <t>Kéo dây đồng trần 50mm2</t>
  </si>
  <si>
    <t>KDM70</t>
  </si>
  <si>
    <t>06.6145</t>
  </si>
  <si>
    <t>Kéo dây đồng trần 70mm2</t>
  </si>
  <si>
    <t>KDM95</t>
  </si>
  <si>
    <t>06.6146</t>
  </si>
  <si>
    <t>Kéo dây đồng trần 95mm2</t>
  </si>
  <si>
    <t>KDM25B</t>
  </si>
  <si>
    <t>Kéo dây đồng bọc 25mm2</t>
  </si>
  <si>
    <t>KDM50B</t>
  </si>
  <si>
    <t>Kéo dây đồng bọc 50mm3</t>
  </si>
  <si>
    <t>KDM95B</t>
  </si>
  <si>
    <t>Kéo dây đồng bọc 95mm2</t>
  </si>
  <si>
    <t>KDQG1</t>
  </si>
  <si>
    <t>06.5071</t>
  </si>
  <si>
    <t>Kéo dây qua vị trí bẻ góc dây &lt;=50mm2</t>
  </si>
  <si>
    <t>vị trí</t>
  </si>
  <si>
    <t>KDQG2</t>
  </si>
  <si>
    <t>06.5072</t>
  </si>
  <si>
    <t xml:space="preserve">Kéo dây qua vị trí bẻ góc dây </t>
  </si>
  <si>
    <t>KDQS</t>
  </si>
  <si>
    <t>06.5082</t>
  </si>
  <si>
    <t>Kéo dây qua sông ( S&lt;=300)</t>
  </si>
  <si>
    <t>KDQMR</t>
  </si>
  <si>
    <t>Kéo dây qua mương rạch</t>
  </si>
  <si>
    <t>KDQD</t>
  </si>
  <si>
    <t>06.5051</t>
  </si>
  <si>
    <t>Kéo dây vượt đường ( dây &lt;=50mm2)</t>
  </si>
  <si>
    <t>KDQD1</t>
  </si>
  <si>
    <t>06.5052</t>
  </si>
  <si>
    <t>Kéo dây vượt đường (dây &lt;=95mm2)</t>
  </si>
  <si>
    <t>LSTK100</t>
  </si>
  <si>
    <t>Lắp ống sắt bảo vệ cáp d&lt;100mm</t>
  </si>
  <si>
    <t>LSTK70</t>
  </si>
  <si>
    <t>07.2203</t>
  </si>
  <si>
    <t>Lắp ống sắt bảo vệ cáp d&lt;70mm</t>
  </si>
  <si>
    <t>LSTK50</t>
  </si>
  <si>
    <t>07.2202</t>
  </si>
  <si>
    <t>Lắp ống sắt bảo vệ cáp d&lt;50mm</t>
  </si>
  <si>
    <t>LSTK120d</t>
  </si>
  <si>
    <t>07.2301</t>
  </si>
  <si>
    <t>Lắp ống sắt bảo vệ cáp qua đường d&lt;120mm</t>
  </si>
  <si>
    <t>LSTK220d</t>
  </si>
  <si>
    <t>07.2302</t>
  </si>
  <si>
    <t>Lắp ống sắt bảo vệ cáp qua đường d&lt;220mm</t>
  </si>
  <si>
    <t>LPVC42CL</t>
  </si>
  <si>
    <t>07,2403</t>
  </si>
  <si>
    <t>Lắp ống nhựa PVC D42</t>
  </si>
  <si>
    <t>LPVC60CL</t>
  </si>
  <si>
    <t>07,2404</t>
  </si>
  <si>
    <t>Lắp ống nhựa PVC D60</t>
  </si>
  <si>
    <t>LPVC90CL</t>
  </si>
  <si>
    <t>07.2415</t>
  </si>
  <si>
    <t>Lắp ống nhựa PVC D90</t>
  </si>
  <si>
    <t>LPVC114CL</t>
  </si>
  <si>
    <t>07,2407</t>
  </si>
  <si>
    <t>Lắp ống nhựa PVC D114</t>
  </si>
  <si>
    <t>LPVC140CL</t>
  </si>
  <si>
    <t>Lắp ống nhựa PVC D140</t>
  </si>
  <si>
    <t>LPVC</t>
  </si>
  <si>
    <t>04.8103</t>
  </si>
  <si>
    <t xml:space="preserve">Lắp ống PVC </t>
  </si>
  <si>
    <t>KCN1kg</t>
  </si>
  <si>
    <t>07.3401</t>
  </si>
  <si>
    <t>Lắp cáp trong ống bảo vệ loại &lt;=1kg</t>
  </si>
  <si>
    <t>KCN2kg</t>
  </si>
  <si>
    <t>07.3402</t>
  </si>
  <si>
    <t>Lắp cáp trong ống bảo vệ loại &lt;=2kg</t>
  </si>
  <si>
    <t>KCN3kg</t>
  </si>
  <si>
    <t>07.3403</t>
  </si>
  <si>
    <t>Lắp cáp trong ống bảo vệ loại &lt;=3kg</t>
  </si>
  <si>
    <t>KCN4kg</t>
  </si>
  <si>
    <t>07.3404</t>
  </si>
  <si>
    <t>Lắp cáp trong ống bảo vệ loại &lt;=4.5kg</t>
  </si>
  <si>
    <t>KCN6kg</t>
  </si>
  <si>
    <t>07.3405</t>
  </si>
  <si>
    <t>Lắp cáp trong ống bảo vệ loại &lt;=6kg</t>
  </si>
  <si>
    <t>KCN7kg</t>
  </si>
  <si>
    <t>07.3406</t>
  </si>
  <si>
    <t>Lắp cáp trong ống bảo vệ loại &lt;=7.5kg</t>
  </si>
  <si>
    <t>KCN9kg</t>
  </si>
  <si>
    <t>07.3407</t>
  </si>
  <si>
    <t>Lắp cáp trong ống bảo vệ loại &lt;=9kg</t>
  </si>
  <si>
    <t>KCN10kg</t>
  </si>
  <si>
    <t>07.3408</t>
  </si>
  <si>
    <t>Lắp cáp trong ống bảo vệ loại &lt;=10.5kg</t>
  </si>
  <si>
    <t>KCN12kg</t>
  </si>
  <si>
    <t>07.3409</t>
  </si>
  <si>
    <t>Lắp cáp trong ống bảo vệ loại &lt;=12kg</t>
  </si>
  <si>
    <t>KCNT1kg</t>
  </si>
  <si>
    <t>Lắp cáp trong ống bảo vệ trong TBA loại &lt;=1kg</t>
  </si>
  <si>
    <t>KCNT2kg</t>
  </si>
  <si>
    <t>03.1402</t>
  </si>
  <si>
    <t>Lắp cáp trong ống bảo vệ trong TBA loại &lt;=2kg</t>
  </si>
  <si>
    <t>KCNT3kg</t>
  </si>
  <si>
    <t>03.1403</t>
  </si>
  <si>
    <t>Lắp cáp trong ống bảo vệ trong TBA loại &lt;=3kg</t>
  </si>
  <si>
    <t>KCNT4kg</t>
  </si>
  <si>
    <t>03.1404</t>
  </si>
  <si>
    <t>Lắp cáp trong ống bảo vệ trong TBA loại &lt;=4.5kg</t>
  </si>
  <si>
    <t>KCNT6kg</t>
  </si>
  <si>
    <t>03.1405</t>
  </si>
  <si>
    <t>Lắp cáp trong ống bảo vệ trong TBA loại &lt;=6kg</t>
  </si>
  <si>
    <t>KCNT7kg</t>
  </si>
  <si>
    <t>03.1406</t>
  </si>
  <si>
    <t>Lắp cáp trong ống bảo vệ trong TBA loại &lt;=7.5kg</t>
  </si>
  <si>
    <t>KCNT9kg</t>
  </si>
  <si>
    <t>03.1407</t>
  </si>
  <si>
    <t>Lắp cáp trong ống bảo vệ trong TBA loại &lt;=9kg</t>
  </si>
  <si>
    <t>LSD</t>
  </si>
  <si>
    <t>06.1115</t>
  </si>
  <si>
    <t>Lắp sứ đứng 24KV</t>
  </si>
  <si>
    <t>LSD_T</t>
  </si>
  <si>
    <t>Tháo sứ đứng 24KV</t>
  </si>
  <si>
    <t>lsd35</t>
  </si>
  <si>
    <t>06.1116</t>
  </si>
  <si>
    <t>Lắp sứ đứng 35KV</t>
  </si>
  <si>
    <t>LCHSD</t>
  </si>
  <si>
    <t>06.1410</t>
  </si>
  <si>
    <t>Lắp chuỗi sứ đỡ 2 bát/chuỗi</t>
  </si>
  <si>
    <t>LCHSN</t>
  </si>
  <si>
    <t>06.1511</t>
  </si>
  <si>
    <t>Lắp chuỗi sứ néo 2 bát/chuỗi</t>
  </si>
  <si>
    <t>LCHSNply</t>
  </si>
  <si>
    <t>06.2201</t>
  </si>
  <si>
    <t>Lắp chuỗi sứ néo Polymer</t>
  </si>
  <si>
    <t>LCHSN3</t>
  </si>
  <si>
    <t>06.1521</t>
  </si>
  <si>
    <t>Lắp chuỗi sứ néo 3 bát/chuỗi</t>
  </si>
  <si>
    <t>LSOC</t>
  </si>
  <si>
    <t>06.1211</t>
  </si>
  <si>
    <t>Lắp rack sứ + sứ ống chỉ</t>
  </si>
  <si>
    <t>LR2</t>
  </si>
  <si>
    <t>06.1213</t>
  </si>
  <si>
    <t>Lắp rack 2 sứ + sứ ống chỉ</t>
  </si>
  <si>
    <t>LR3</t>
  </si>
  <si>
    <t>06.1214</t>
  </si>
  <si>
    <t>Lắp rack 3 sứ + sứ ống chỉ</t>
  </si>
  <si>
    <t>LR4</t>
  </si>
  <si>
    <t>06.1215</t>
  </si>
  <si>
    <t>Lắp rack 4 sứ + sứ ống chỉ</t>
  </si>
  <si>
    <t>LTRUHL-I</t>
  </si>
  <si>
    <t>HL16</t>
  </si>
  <si>
    <t xml:space="preserve">Dựng trụ đỡ đường dây 3 pha </t>
  </si>
  <si>
    <t>LSDHL-DX</t>
  </si>
  <si>
    <t>HL02</t>
  </si>
  <si>
    <t>Lắp sứ đứng đường dây 3 pha xà đối xứng</t>
  </si>
  <si>
    <t>LCHSNplyHL</t>
  </si>
  <si>
    <t>HL05</t>
  </si>
  <si>
    <t>Lắp chuỗi sứ néo Polymer đường dây 3 pha</t>
  </si>
  <si>
    <t>DN CL</t>
  </si>
  <si>
    <t>HL07</t>
  </si>
  <si>
    <t>Đấu cò lèo đường dây 3 pha</t>
  </si>
  <si>
    <t>cò</t>
  </si>
  <si>
    <t>LXHL</t>
  </si>
  <si>
    <t>HL13</t>
  </si>
  <si>
    <t>Lắp xà</t>
  </si>
  <si>
    <t>LSDHL-V</t>
  </si>
  <si>
    <t>HL03</t>
  </si>
  <si>
    <t>Lắp sứ đứng đường dây 3 pha xà vectical</t>
  </si>
  <si>
    <t>LFCOHL</t>
  </si>
  <si>
    <t>HL09</t>
  </si>
  <si>
    <t>Lắp FCO, LBFCO đường dây 3 pha</t>
  </si>
  <si>
    <t>LLAHL</t>
  </si>
  <si>
    <t>Lắp LA</t>
  </si>
  <si>
    <t>LBNH</t>
  </si>
  <si>
    <t>06.2070</t>
  </si>
  <si>
    <t>Sơn biển số- bảng nguy hiểm</t>
  </si>
  <si>
    <t>LcapdongTB95</t>
  </si>
  <si>
    <t>Lắp cáp đồng xuống thiết bị D ≤ 95mm2</t>
  </si>
  <si>
    <t>LcapdongTB150</t>
  </si>
  <si>
    <t>04.4202</t>
  </si>
  <si>
    <t>Lắp cáp đồng xuống thiết bị D ≤ 150mm2</t>
  </si>
  <si>
    <t>LcapdongTB240</t>
  </si>
  <si>
    <t>04.4203</t>
  </si>
  <si>
    <t>Lắp cáp đồng xuống thiết bị D &gt; 150mm2</t>
  </si>
  <si>
    <t>LFCO</t>
  </si>
  <si>
    <t>02.3505</t>
  </si>
  <si>
    <t>Lắp FCO 24KV</t>
  </si>
  <si>
    <t>LLBFCO</t>
  </si>
  <si>
    <t>Lắp LBFCO 24KV</t>
  </si>
  <si>
    <t>LGFCO</t>
  </si>
  <si>
    <t>Lắp giá đỡ FCO</t>
  </si>
  <si>
    <t>PT</t>
  </si>
  <si>
    <t>01.1112</t>
  </si>
  <si>
    <t>Phát tuyến</t>
  </si>
  <si>
    <t>PHABETONG</t>
  </si>
  <si>
    <t>07.1113</t>
  </si>
  <si>
    <t>Phá đường nhựa bằng thủ công</t>
  </si>
  <si>
    <t>Bảng kê đơn Giá trạm biến áp ( 66/1999/QĐ-BCN)</t>
  </si>
  <si>
    <t>TR15</t>
  </si>
  <si>
    <t>01.1161</t>
  </si>
  <si>
    <t>Máy biến áp 8,6(12,7)/0,22- 0,44kV  15kVA</t>
  </si>
  <si>
    <t>máy</t>
  </si>
  <si>
    <t>TR25</t>
  </si>
  <si>
    <t>Máy biến áp 8,6(12,7)/0,22- 0,44kV  25kVA</t>
  </si>
  <si>
    <t>TR37</t>
  </si>
  <si>
    <t>01.1162</t>
  </si>
  <si>
    <t>Máy biến áp 8,6(12,7)/0,22-0,44kV- 37,5kVA</t>
  </si>
  <si>
    <t>TR50</t>
  </si>
  <si>
    <t>Máy biến áp 8,6(12,7)/0,22-0,44kV- 50kVA</t>
  </si>
  <si>
    <t>TR75</t>
  </si>
  <si>
    <t>01.1163</t>
  </si>
  <si>
    <t>Máy biến áp 8,6(12,7)/0,22-0,44kV- 75kVA</t>
  </si>
  <si>
    <t>T100</t>
  </si>
  <si>
    <t>01.1164</t>
  </si>
  <si>
    <t>Máy biến áp 8,6(12,7)/0,22-0,44kV- 100kVA</t>
  </si>
  <si>
    <t>TR151</t>
  </si>
  <si>
    <t>Máy biến áp 12,7/0,22-0,44kV  15kVA</t>
  </si>
  <si>
    <t>TR251</t>
  </si>
  <si>
    <t>Máy biến áp 12,7/0,22-0,44kV  25kVA</t>
  </si>
  <si>
    <t>TR371</t>
  </si>
  <si>
    <t>01.1412</t>
  </si>
  <si>
    <t>Máy biến áp 12,7/0,22-0,44kV  37,5kVA</t>
  </si>
  <si>
    <t>TR501</t>
  </si>
  <si>
    <t>Máy biến áp 12,7/0,22-0,44kV  50kVA</t>
  </si>
  <si>
    <t>TR751</t>
  </si>
  <si>
    <t>Máy biến áp 12,7/0,23-0,46kV  75kVA</t>
  </si>
  <si>
    <t>T1001</t>
  </si>
  <si>
    <t>Máy biến áp 12,7/0,22-0,44kV  100kVA</t>
  </si>
  <si>
    <t>TR100</t>
  </si>
  <si>
    <t>01.1153</t>
  </si>
  <si>
    <t>Máy biến áp 15(22)/0,4kV- 100kVA</t>
  </si>
  <si>
    <t>TR160</t>
  </si>
  <si>
    <t>01.1154</t>
  </si>
  <si>
    <t>Máy biến áp 15(22)/0,4kV- 160kVA</t>
  </si>
  <si>
    <t>TR180</t>
  </si>
  <si>
    <t>Máy biến áp 15(22)/0,4kV- 180kVA</t>
  </si>
  <si>
    <t>TR250</t>
  </si>
  <si>
    <t>01.1155</t>
  </si>
  <si>
    <t>Máy biến áp 15(22)/0,4kV- 250kVA</t>
  </si>
  <si>
    <t>TR320</t>
  </si>
  <si>
    <t>Máy biến áp 15(22)/0,4kV- 320kVA</t>
  </si>
  <si>
    <t>TR400</t>
  </si>
  <si>
    <t>Máy biến áp 15(22)/0,4kV- 400kVA</t>
  </si>
  <si>
    <t>TR560</t>
  </si>
  <si>
    <t>01.1156</t>
  </si>
  <si>
    <t>Máy biến áp 15(22)/0,4kV- 560kVA</t>
  </si>
  <si>
    <t>TR630</t>
  </si>
  <si>
    <t>Máy biến áp 15(22)/0,4kV- 630kVA</t>
  </si>
  <si>
    <t>TR750</t>
  </si>
  <si>
    <t>01.1157</t>
  </si>
  <si>
    <t>Máy biến áp 15(22)/0,4kV- 750kVA</t>
  </si>
  <si>
    <t>TR1000</t>
  </si>
  <si>
    <t>Máy biến áp 15(22)/0,4kV- 1000kVA</t>
  </si>
  <si>
    <t>TR1250</t>
  </si>
  <si>
    <t>Máy biến áp 15(22)/0,4kV- 1250kVA</t>
  </si>
  <si>
    <t>TR1500</t>
  </si>
  <si>
    <t>Máy biến áp 15(22)/0,4kV- 1500kVA</t>
  </si>
  <si>
    <t>TR1600</t>
  </si>
  <si>
    <t>Máy biến áp 15(22)/0,4kV- 1600kVA</t>
  </si>
  <si>
    <t>TR2000</t>
  </si>
  <si>
    <t>Máy biến áp 15(22)/0,4kV- 2000kVA</t>
  </si>
  <si>
    <t>TR2500</t>
  </si>
  <si>
    <t>Máy biến áp 15(22)/0,4kV- 2500kVA</t>
  </si>
  <si>
    <t>TR3000</t>
  </si>
  <si>
    <t>Máy biến áp 15(22)/0,4kV- 3000kVA</t>
  </si>
  <si>
    <t>TR4000</t>
  </si>
  <si>
    <t>Máy biến áp 15(22)/0,4kV- 4000kVA</t>
  </si>
  <si>
    <t>TR1001</t>
  </si>
  <si>
    <t>01.1143</t>
  </si>
  <si>
    <t>Máy biến áp 22/0,4kV  100kVA</t>
  </si>
  <si>
    <t>TR1601</t>
  </si>
  <si>
    <t>01.1144</t>
  </si>
  <si>
    <t>Máy biến áp 22/0,4kV  160kVA</t>
  </si>
  <si>
    <t>TR1801</t>
  </si>
  <si>
    <t>Máy biến áp 22/0,4kV  180kVA</t>
  </si>
  <si>
    <t>TR2501</t>
  </si>
  <si>
    <t>01.1415</t>
  </si>
  <si>
    <t>Máy biến áp 22/0,4kV- 250kVA</t>
  </si>
  <si>
    <t>TR3201</t>
  </si>
  <si>
    <t>01.1145</t>
  </si>
  <si>
    <t>Máy biến áp 22/0,4kV- 320kVA</t>
  </si>
  <si>
    <t>TR4001</t>
  </si>
  <si>
    <t>01.1146</t>
  </si>
  <si>
    <t>Máy biến áp 22/0,4kV- 400kVA</t>
  </si>
  <si>
    <t>TR5601</t>
  </si>
  <si>
    <t>Máy biến áp 22/0,4kV- 560kVA</t>
  </si>
  <si>
    <t>TR6301</t>
  </si>
  <si>
    <t>Máy biến áp 22/0,4kV- 630kVA</t>
  </si>
  <si>
    <t>TR7501</t>
  </si>
  <si>
    <t>01.1147</t>
  </si>
  <si>
    <t>Máy biến áp 22/0,4kV- 750kVA</t>
  </si>
  <si>
    <t>TR10001</t>
  </si>
  <si>
    <t>Máy biến áp 22/0,4kV- 1000kVA</t>
  </si>
  <si>
    <t>TR12501</t>
  </si>
  <si>
    <t>Máy biến áp 22/0,4kV- 1250kVA</t>
  </si>
  <si>
    <t>TR15001</t>
  </si>
  <si>
    <t>Máy biến áp 22/0,4kV- 1500kVA</t>
  </si>
  <si>
    <t>TR16001</t>
  </si>
  <si>
    <t>Máy biến áp 22/0,4kV- 1600kVA</t>
  </si>
  <si>
    <t>TR20001</t>
  </si>
  <si>
    <t>Máy biến áp 22/0,4kV- 2000kVA</t>
  </si>
  <si>
    <t>TR25001</t>
  </si>
  <si>
    <t>Máy biến áp 22/0,4kV- 2500kVA</t>
  </si>
  <si>
    <t>TR30001</t>
  </si>
  <si>
    <t>Máy biến áp 22/0,4kV- 3000kVA</t>
  </si>
  <si>
    <t>TR40001</t>
  </si>
  <si>
    <t>Máy biến áp 22/0,4kV- 4000kVA</t>
  </si>
  <si>
    <t>FCO100-15</t>
  </si>
  <si>
    <t>02.3504</t>
  </si>
  <si>
    <t>FCO 24kV - 100A</t>
  </si>
  <si>
    <t>FCO200-15</t>
  </si>
  <si>
    <t xml:space="preserve">FCO 24KV - 200A </t>
  </si>
  <si>
    <t>FCO100-22</t>
  </si>
  <si>
    <t>02.3155</t>
  </si>
  <si>
    <t>FCO200-22</t>
  </si>
  <si>
    <t>lbfco100-15</t>
  </si>
  <si>
    <t>LBFCO-24KV-100A</t>
  </si>
  <si>
    <t>LBFCO200-15</t>
  </si>
  <si>
    <t>LBFCO-24KV-200A</t>
  </si>
  <si>
    <t>lbfco100-22</t>
  </si>
  <si>
    <t>LBFCO200-22</t>
  </si>
  <si>
    <t>DS1P</t>
  </si>
  <si>
    <t>02.3302</t>
  </si>
  <si>
    <t xml:space="preserve">DS 1P - 24KV - 600A </t>
  </si>
  <si>
    <t>DS3P</t>
  </si>
  <si>
    <t xml:space="preserve">DS 3P - 24KV - 630A </t>
  </si>
  <si>
    <t>DS1PDD</t>
  </si>
  <si>
    <t>02.3109</t>
  </si>
  <si>
    <t>DS3PDD</t>
  </si>
  <si>
    <t>02.3207</t>
  </si>
  <si>
    <t>LBS 16</t>
  </si>
  <si>
    <t>02.2124</t>
  </si>
  <si>
    <t>LBS SF6 3pha 24kV 630A - 16kA</t>
  </si>
  <si>
    <t>LBS treo</t>
  </si>
  <si>
    <t>LBS SF6 3pha 24kV 630A 12kA + bộ truyền động</t>
  </si>
  <si>
    <t>REC</t>
  </si>
  <si>
    <t>02.2113</t>
  </si>
  <si>
    <t>Recloser 24kV 630A</t>
  </si>
  <si>
    <t>Recloser</t>
  </si>
  <si>
    <t>Recloser 24kV 630-800A</t>
  </si>
  <si>
    <t>LTD</t>
  </si>
  <si>
    <t>02.3104</t>
  </si>
  <si>
    <t>LTD 1P 24KV - 800A</t>
  </si>
  <si>
    <t>LTD6</t>
  </si>
  <si>
    <t>LTD 1P 24KV - 600A</t>
  </si>
  <si>
    <t>LA12</t>
  </si>
  <si>
    <t>02.5114</t>
  </si>
  <si>
    <t>LA 12kV 10kA</t>
  </si>
  <si>
    <t>LA18</t>
  </si>
  <si>
    <t>LA 18kV 10kA</t>
  </si>
  <si>
    <t>TI10</t>
  </si>
  <si>
    <t>Biến dòng 24kV  10/5A</t>
  </si>
  <si>
    <t>TI15</t>
  </si>
  <si>
    <t>Biến dòng 24kV  15/5A</t>
  </si>
  <si>
    <t>TI20</t>
  </si>
  <si>
    <t>Biến dòng 24kV  20/5A</t>
  </si>
  <si>
    <t>TI25</t>
  </si>
  <si>
    <t>Biến dòng 24kV  25/5A</t>
  </si>
  <si>
    <t>TI30</t>
  </si>
  <si>
    <t>Biến dòng 24kV  30/5A</t>
  </si>
  <si>
    <t>TI40</t>
  </si>
  <si>
    <t>Biến dòng 24kV  40/5A</t>
  </si>
  <si>
    <t>TI50</t>
  </si>
  <si>
    <t>Biến dòng 24kV  50/5A</t>
  </si>
  <si>
    <t>TI60</t>
  </si>
  <si>
    <t>Biến dòng 24kV  60/5A</t>
  </si>
  <si>
    <t>TI75</t>
  </si>
  <si>
    <t>Biến dòng 24kV  75/5A</t>
  </si>
  <si>
    <t>TI100</t>
  </si>
  <si>
    <t>Biến dòng 24kV  100/5A</t>
  </si>
  <si>
    <t>TI150</t>
  </si>
  <si>
    <t>Biến dòng 24kV  150/5A</t>
  </si>
  <si>
    <t>TI755</t>
  </si>
  <si>
    <t xml:space="preserve">Biến dòng 600V - 75/5A </t>
  </si>
  <si>
    <t>TI1005</t>
  </si>
  <si>
    <t>Biến dòng 600V - 100/5A</t>
  </si>
  <si>
    <t>TI1255</t>
  </si>
  <si>
    <t xml:space="preserve">Biến dòng 600V - 125/5A </t>
  </si>
  <si>
    <t>TI1505</t>
  </si>
  <si>
    <t xml:space="preserve">Biến dòng 600V - 150/5A </t>
  </si>
  <si>
    <t>TI200</t>
  </si>
  <si>
    <t xml:space="preserve">Biến dòng 600V - 200/5A </t>
  </si>
  <si>
    <t>TI250</t>
  </si>
  <si>
    <t>Biến dòng 600V - 250/5A</t>
  </si>
  <si>
    <t>TI300</t>
  </si>
  <si>
    <t xml:space="preserve">Biến dòng 600V - 300/5A </t>
  </si>
  <si>
    <t>TI400</t>
  </si>
  <si>
    <t>Biến dòng 600V - 400/5A</t>
  </si>
  <si>
    <t>TI500</t>
  </si>
  <si>
    <t>Biến dòng 600V - 500/5A</t>
  </si>
  <si>
    <t>TI600</t>
  </si>
  <si>
    <t>Biến dòng 600V - 600/5A</t>
  </si>
  <si>
    <t>TI800</t>
  </si>
  <si>
    <t>Biến dòng 600V - 800/5A</t>
  </si>
  <si>
    <t>TU15</t>
  </si>
  <si>
    <t>Biến điện áp 8400/120(60)V</t>
  </si>
  <si>
    <t>TU22</t>
  </si>
  <si>
    <t>Biến điện áp 12000/120(60)V</t>
  </si>
  <si>
    <t>TIMER</t>
  </si>
  <si>
    <t>Relay Timer + cầu chì</t>
  </si>
  <si>
    <t>COTATOR</t>
  </si>
  <si>
    <t>Contactor 3P-50A</t>
  </si>
  <si>
    <t>CONTACTOR 100</t>
  </si>
  <si>
    <t>Contactor 3P-100A</t>
  </si>
  <si>
    <t>CONTACTOR 125</t>
  </si>
  <si>
    <t>Contactor 3P-125A</t>
  </si>
  <si>
    <t>TUBU1000</t>
  </si>
  <si>
    <t>02.8534</t>
  </si>
  <si>
    <t>Tủ tụ bù hạ thế 1000kVAr</t>
  </si>
  <si>
    <t>tủ</t>
  </si>
  <si>
    <t>TUBU750</t>
  </si>
  <si>
    <t>Tủ tụ bù hạ thế 750kVAr</t>
  </si>
  <si>
    <t>TUBU600</t>
  </si>
  <si>
    <t>Tủ tụ bù hạ thế 600kVAr</t>
  </si>
  <si>
    <t>TUBU400</t>
  </si>
  <si>
    <t>Tủ tụ bù hạ thế 400kVAr</t>
  </si>
  <si>
    <t>TUBU380</t>
  </si>
  <si>
    <t>Tủ tụ bù hạ thế 380kVAr</t>
  </si>
  <si>
    <t>TUBU300</t>
  </si>
  <si>
    <t>Tủ tụ bù hạ thế 300kVAr</t>
  </si>
  <si>
    <t>TUBU250</t>
  </si>
  <si>
    <t>Tủ tụ bù hạ thế 250kVAr</t>
  </si>
  <si>
    <t>TUBU220</t>
  </si>
  <si>
    <t>Tủ tụ bù hạ thế 220kVAr</t>
  </si>
  <si>
    <t>TUBU160</t>
  </si>
  <si>
    <t>Tủ tụ bù hạ thế 160kVAr</t>
  </si>
  <si>
    <t>TUBU135</t>
  </si>
  <si>
    <t>Tủ tụ bù hạ thế 135kVAr</t>
  </si>
  <si>
    <t>TUBU130</t>
  </si>
  <si>
    <t>Tủ tụ bù hạ thế 130kVAr</t>
  </si>
  <si>
    <t>TUBU100</t>
  </si>
  <si>
    <t>02.8504a</t>
  </si>
  <si>
    <t>Tủ tụ bù hạ thế 100kVAr</t>
  </si>
  <si>
    <t>TUBU80</t>
  </si>
  <si>
    <t>Tủ tụ bù hạ thế 80kVAr</t>
  </si>
  <si>
    <t>TUBU60</t>
  </si>
  <si>
    <t>Tủ tụ bù hạ thế 60kVAr</t>
  </si>
  <si>
    <t>TUBU40</t>
  </si>
  <si>
    <t>Tủ tụ bù hạ thế 40kVAr</t>
  </si>
  <si>
    <t>TULBS</t>
  </si>
  <si>
    <t>05.2102</t>
  </si>
  <si>
    <t>Tủ LBS 3 pha 630-800A</t>
  </si>
  <si>
    <t>TU LBS</t>
  </si>
  <si>
    <t>Tủ + LBS 24kV 3 pha 630A -16kA + Fuse 80A</t>
  </si>
  <si>
    <t>TUTC LBS</t>
  </si>
  <si>
    <t>Tủ đấu nối thanh cái LBS (GAM2)</t>
  </si>
  <si>
    <t>TUDS</t>
  </si>
  <si>
    <t>Tủ DS 3 pha 630-800A</t>
  </si>
  <si>
    <t>TUACB</t>
  </si>
  <si>
    <t>05.1102</t>
  </si>
  <si>
    <t>Tủ ACB trạm 3 pha + khoá</t>
  </si>
  <si>
    <t>TUACB3200</t>
  </si>
  <si>
    <t>Tủ ACB 3200 + giá nới + khoá</t>
  </si>
  <si>
    <t>TUACB4000</t>
  </si>
  <si>
    <t>Tủ ACB 4000 + giá nới + khoá</t>
  </si>
  <si>
    <t>TUAP3-N</t>
  </si>
  <si>
    <t>05.1002</t>
  </si>
  <si>
    <t>Tủ CB trạm 3 pha + khoá + bulon</t>
  </si>
  <si>
    <t>TUAP1</t>
  </si>
  <si>
    <t>05.1001</t>
  </si>
  <si>
    <t>Tủ CB trạm 1 pha + khóa + boulon</t>
  </si>
  <si>
    <t>TUN</t>
  </si>
  <si>
    <t>05.1101</t>
  </si>
  <si>
    <t>Tủ điện kế 1 pha</t>
  </si>
  <si>
    <t>TUDKDT</t>
  </si>
  <si>
    <t>Thùng điện kế 450x300x200mm đo đếm trung thế</t>
  </si>
  <si>
    <t>TUAP3</t>
  </si>
  <si>
    <t>Vỏ tủ + khóa tủ</t>
  </si>
  <si>
    <t>TUAP3L</t>
  </si>
  <si>
    <t>Vỏ tủ trạm giàn 2 ngăn + khóa tủ</t>
  </si>
  <si>
    <t>KHUNG TU</t>
  </si>
  <si>
    <t>Khung đỡ tủ MCCB và tủ bù</t>
  </si>
  <si>
    <t>TUPP</t>
  </si>
  <si>
    <t>Tủ phân phối hạ thế</t>
  </si>
  <si>
    <t>ATM30A</t>
  </si>
  <si>
    <t>Aptomat 2 cực 220V - 30A - 2,5kA</t>
  </si>
  <si>
    <t>ATM40A</t>
  </si>
  <si>
    <t>Aptomat 2 cực 220V - 40A - 7,5kA</t>
  </si>
  <si>
    <t>ATM100A</t>
  </si>
  <si>
    <t>Aptomat 2 cực 220V -100A</t>
  </si>
  <si>
    <t>ATM50</t>
  </si>
  <si>
    <t>02.8401</t>
  </si>
  <si>
    <t>MCCB 3 cực 400V-50A - 25KA</t>
  </si>
  <si>
    <t>ATM80</t>
  </si>
  <si>
    <t>MCCB 3 cực 400V-80A - 10KA</t>
  </si>
  <si>
    <t>ATM75</t>
  </si>
  <si>
    <t>MCCB 3 cực 400V-75A - 10KA</t>
  </si>
  <si>
    <t>ATM100</t>
  </si>
  <si>
    <t>MCCB 3 cực 400V-100A - 30KA</t>
  </si>
  <si>
    <t>ATM125.</t>
  </si>
  <si>
    <t>MCCB 3 cực 125A</t>
  </si>
  <si>
    <t>ATM125</t>
  </si>
  <si>
    <t>MCCB 3 cực 400V -125A - 30KA</t>
  </si>
  <si>
    <t>ATM150</t>
  </si>
  <si>
    <t>MCCB 3 cực 400V -150A - 35KA</t>
  </si>
  <si>
    <t>ATM200</t>
  </si>
  <si>
    <t>MCCB 3 cực 400V -200A - 35KA</t>
  </si>
  <si>
    <t>ATM250</t>
  </si>
  <si>
    <t xml:space="preserve">MCCB 3 cực 600V -250A - 36KA </t>
  </si>
  <si>
    <t>ATM400</t>
  </si>
  <si>
    <t>02.8402</t>
  </si>
  <si>
    <t>MCCB 3 cực 690V - 400A - 50KA</t>
  </si>
  <si>
    <t>ATM500</t>
  </si>
  <si>
    <t>02.8403</t>
  </si>
  <si>
    <t>MCCB 3 cực 400V -500A - 35KA</t>
  </si>
  <si>
    <t>ATM600</t>
  </si>
  <si>
    <t>MCCB 3 cực 400V -600A - 35KA</t>
  </si>
  <si>
    <t>ATM630</t>
  </si>
  <si>
    <t>MCCB 3 cực 400V -630A - 35KA</t>
  </si>
  <si>
    <t>ATM800</t>
  </si>
  <si>
    <t>MCCB 3 cực 400V -800A - 50KA</t>
  </si>
  <si>
    <t>ATM1000</t>
  </si>
  <si>
    <t>02.8404</t>
  </si>
  <si>
    <t>MCCB 3 cực 400V -1000A - 50KA</t>
  </si>
  <si>
    <t>ATM1250</t>
  </si>
  <si>
    <t>MCCB 3 cực 400V -1250A - 85KA</t>
  </si>
  <si>
    <t>ATM1600</t>
  </si>
  <si>
    <t>MCCB 3 cực 400V -1600A - 85KA</t>
  </si>
  <si>
    <t>ACB1600</t>
  </si>
  <si>
    <t>ACB 3P - 1600A - 65KA (nạp lò xo bằng tay)</t>
  </si>
  <si>
    <t>ACB2000</t>
  </si>
  <si>
    <t>ACB 3P - 2000A - 85KA (nạp lò xo bằng tay)</t>
  </si>
  <si>
    <t>ACB2500</t>
  </si>
  <si>
    <t>ACB 3P - 2500A - 85KA (nạp lò xo bằng tay)</t>
  </si>
  <si>
    <t>ACB3200</t>
  </si>
  <si>
    <t>ACB 3P - 3200A - 85KA (nạp lò xo bằng tay)</t>
  </si>
  <si>
    <t>ACB4000</t>
  </si>
  <si>
    <t>ACB 3P - 4000A - 85KA (nạp lò xo bằng tay)</t>
  </si>
  <si>
    <t>ACB4000-130</t>
  </si>
  <si>
    <t>ACB 3P - 4000A - 130KA (nạp lò xo bằng tay)</t>
  </si>
  <si>
    <t>ACB6300</t>
  </si>
  <si>
    <t>ACB 3P - 6300A - 130KA (nạp lò xo bằng tay)</t>
  </si>
  <si>
    <t>AP250</t>
  </si>
  <si>
    <t>Áp tô mát CBXE 200NC -250A-600V (TERASAKY-Nhật)</t>
  </si>
  <si>
    <t>AP150</t>
  </si>
  <si>
    <t>Áp tô mát CBXE 200NC -150A-600V (TERASAKY-Nhật)</t>
  </si>
  <si>
    <t>CHI3K</t>
  </si>
  <si>
    <t>Dây chảy 3K</t>
  </si>
  <si>
    <t>Sợi</t>
  </si>
  <si>
    <t>CHI6K</t>
  </si>
  <si>
    <t>Dây chảy 6K</t>
  </si>
  <si>
    <t>CHI8K</t>
  </si>
  <si>
    <t>Dây chảy 8K</t>
  </si>
  <si>
    <t>CHI10K</t>
  </si>
  <si>
    <t>Dây chảy 10K</t>
  </si>
  <si>
    <t>CHI12K</t>
  </si>
  <si>
    <t>Dây chảy 12K</t>
  </si>
  <si>
    <t>CHI15K</t>
  </si>
  <si>
    <t>Dây chảy 15K</t>
  </si>
  <si>
    <t>CHI20K</t>
  </si>
  <si>
    <t>Dây chảy 20K</t>
  </si>
  <si>
    <t>CHI25K</t>
  </si>
  <si>
    <t>Dây chảy 25K</t>
  </si>
  <si>
    <t>CHI30K</t>
  </si>
  <si>
    <t>Dây chảy 30K</t>
  </si>
  <si>
    <t>CHI40K</t>
  </si>
  <si>
    <t>Dây chảy 40K</t>
  </si>
  <si>
    <t>CHI50K</t>
  </si>
  <si>
    <t>Dây chảy 50K</t>
  </si>
  <si>
    <t>CHI65K</t>
  </si>
  <si>
    <t>Dây chảy 65K</t>
  </si>
  <si>
    <t>CHI80K</t>
  </si>
  <si>
    <t>Dây chảy 80K</t>
  </si>
  <si>
    <t>CHI100K</t>
  </si>
  <si>
    <t>Dây chảy 100K</t>
  </si>
  <si>
    <t>CHI140K</t>
  </si>
  <si>
    <t>Dây chảy 140K</t>
  </si>
  <si>
    <t>DK1p100A</t>
  </si>
  <si>
    <t>Điện kế 1 pha 2 dây 220V-100A</t>
  </si>
  <si>
    <t>DK1p80A</t>
  </si>
  <si>
    <t>Điện kế 1 pha 2 dây 220V-80A</t>
  </si>
  <si>
    <t>DK1p5A</t>
  </si>
  <si>
    <t>Điện kế 1 pha 2 dây 220V-5A</t>
  </si>
  <si>
    <t>DK3p50(100)A</t>
  </si>
  <si>
    <t>Điện kế 3 pha 4 dây 220/380V-50(100)A</t>
  </si>
  <si>
    <t>DK3p5A</t>
  </si>
  <si>
    <t>05.5104</t>
  </si>
  <si>
    <t>Điện kế 3 pha 4 dây 220/380V-5A</t>
  </si>
  <si>
    <t>DK380-5A</t>
  </si>
  <si>
    <t>Điện kế 3 pha điện tử 220/380V-5A</t>
  </si>
  <si>
    <t>DK3DT</t>
  </si>
  <si>
    <t>Điện kế 3 pha điện tử 600V-5A</t>
  </si>
  <si>
    <t>DK3P</t>
  </si>
  <si>
    <t>Điện năng kế 3 pha 380V-5A</t>
  </si>
  <si>
    <t>BANG</t>
  </si>
  <si>
    <t>06.3191</t>
  </si>
  <si>
    <t>Bảng tên trạm, bảng báo nguy hiểm + đinh vít</t>
  </si>
  <si>
    <t>GTD</t>
  </si>
  <si>
    <t>Giếng tiếp địa khoan đất</t>
  </si>
  <si>
    <t>Cái</t>
  </si>
  <si>
    <t>GTDĐ</t>
  </si>
  <si>
    <t>Giếng tiếp địa khoan đá</t>
  </si>
  <si>
    <t>SXTg</t>
  </si>
  <si>
    <t>04.2301</t>
  </si>
  <si>
    <t>Sứ xuyên tường 24kV</t>
  </si>
  <si>
    <t>GSXTg</t>
  </si>
  <si>
    <t>Giá lắp sứ xuyên tường</t>
  </si>
  <si>
    <t>GCAP</t>
  </si>
  <si>
    <t>Giá đỡ cáp ngầm (V63x6)</t>
  </si>
  <si>
    <t>SDTC</t>
  </si>
  <si>
    <t>04.2201</t>
  </si>
  <si>
    <t>Sứ đỡ thanh cái 24kV</t>
  </si>
  <si>
    <t>TC450</t>
  </si>
  <si>
    <t>04.5102</t>
  </si>
  <si>
    <t>Thanh cái đồng 4x50</t>
  </si>
  <si>
    <t>TC430</t>
  </si>
  <si>
    <t>Thanh cái đồng 4x30</t>
  </si>
  <si>
    <t>TC420</t>
  </si>
  <si>
    <t>Thanh cái đồng 4x20</t>
  </si>
  <si>
    <t>GiacapTT-2m</t>
  </si>
  <si>
    <t>Giá đỡ cáp trung thế</t>
  </si>
  <si>
    <t>GiacapTT-6m</t>
  </si>
  <si>
    <t>GiacapTT-8m</t>
  </si>
  <si>
    <t>GiacapTT-15m</t>
  </si>
  <si>
    <t>GiacapTHT-10m</t>
  </si>
  <si>
    <t>Giá đỡ cáp trung hạ thế</t>
  </si>
  <si>
    <t>GiacapHT-1m</t>
  </si>
  <si>
    <t xml:space="preserve">Giá đỡ cáp hạ thế </t>
  </si>
  <si>
    <t>GiacapHT-2m</t>
  </si>
  <si>
    <t>GiacapHT-3m</t>
  </si>
  <si>
    <t>GiacapHT-4m</t>
  </si>
  <si>
    <t>GiacapHT</t>
  </si>
  <si>
    <t>GiacapHT-30m</t>
  </si>
  <si>
    <t>GTMBA15</t>
  </si>
  <si>
    <t>Giá chùm treo máy biến áp 3x15</t>
  </si>
  <si>
    <t>bô</t>
  </si>
  <si>
    <t>GTMBA25</t>
  </si>
  <si>
    <t>Giá chùm treo máy biến áp 3x25</t>
  </si>
  <si>
    <t>GTMBA37,5</t>
  </si>
  <si>
    <t>Giá chùm treo máy biến áp 3x37,5</t>
  </si>
  <si>
    <t>GTMBA</t>
  </si>
  <si>
    <t>Giá chùm treo máy biến áp 3x50</t>
  </si>
  <si>
    <t>COSe16</t>
  </si>
  <si>
    <t>03.4001</t>
  </si>
  <si>
    <t>Đầu cosse ép Cu-Al 16mm2</t>
  </si>
  <si>
    <t>COSe25</t>
  </si>
  <si>
    <t>Đầu cosse ép Cu-Al 25mm2</t>
  </si>
  <si>
    <t>COSe50</t>
  </si>
  <si>
    <t>03.4002</t>
  </si>
  <si>
    <t>Đầu cosse ép Cu-Al 50mm2</t>
  </si>
  <si>
    <t>COSe70</t>
  </si>
  <si>
    <t>03.4003</t>
  </si>
  <si>
    <t>Đầu cosse ép Cu-Al 70mm2</t>
  </si>
  <si>
    <t>COSe95</t>
  </si>
  <si>
    <t>03.4004</t>
  </si>
  <si>
    <t>Đầu cosse ép Cu-Al 95mm2</t>
  </si>
  <si>
    <t>COSe120</t>
  </si>
  <si>
    <t>03.4005</t>
  </si>
  <si>
    <t>Đầu cosse ép Cu-Al 120mm2</t>
  </si>
  <si>
    <t>COSe150</t>
  </si>
  <si>
    <t>03.4006</t>
  </si>
  <si>
    <t>Đầu cosse ép Cu-Al 150mm2</t>
  </si>
  <si>
    <t>COSe185</t>
  </si>
  <si>
    <t>03.4007</t>
  </si>
  <si>
    <t>Đầu cosse ép Cu-Al 185mm2</t>
  </si>
  <si>
    <t>COSe200</t>
  </si>
  <si>
    <t>03.4008</t>
  </si>
  <si>
    <t>Đầu cosse ép Cu-Al 200mm2</t>
  </si>
  <si>
    <t>COSe240</t>
  </si>
  <si>
    <t>Đầu cosse ép Cu-Al 240mm2</t>
  </si>
  <si>
    <t>COSe250</t>
  </si>
  <si>
    <t>Đầu cosse ép Cu-Al 250mm2</t>
  </si>
  <si>
    <t>COSe300</t>
  </si>
  <si>
    <t>Đầu cosse ép Cu-Al 300mm2</t>
  </si>
  <si>
    <t>COSe400</t>
  </si>
  <si>
    <t>Đầu cosse ép Cu-Al 400mm2</t>
  </si>
  <si>
    <t>COS2,5</t>
  </si>
  <si>
    <t xml:space="preserve">Đầu cosse ép Cu 2,5mm2 + bao PVC </t>
  </si>
  <si>
    <t>COS5</t>
  </si>
  <si>
    <t>Đầu cosse ép Cu 5mm2</t>
  </si>
  <si>
    <t>COS11</t>
  </si>
  <si>
    <t>Đầu cosse ép Cu 11mm2</t>
  </si>
  <si>
    <t>COS16</t>
  </si>
  <si>
    <t>Đầu cosse ép Cu 16mm2</t>
  </si>
  <si>
    <t>COS22</t>
  </si>
  <si>
    <t>Đầu cosse ép Cu 22mm2</t>
  </si>
  <si>
    <t>COS25</t>
  </si>
  <si>
    <t>Đầu cosse ép Cu 25mm2</t>
  </si>
  <si>
    <t>COS35</t>
  </si>
  <si>
    <t>Đầu cosse ép Cu 35mm2</t>
  </si>
  <si>
    <t>COS38</t>
  </si>
  <si>
    <t>Đầu cosse ép Cu 38mm2</t>
  </si>
  <si>
    <t>COS50</t>
  </si>
  <si>
    <t>Đầu cosse ép Cu 50mm2</t>
  </si>
  <si>
    <t>COS70</t>
  </si>
  <si>
    <t>Đầu cosse ép Cu 70mm2</t>
  </si>
  <si>
    <t>COS95</t>
  </si>
  <si>
    <t>Đầu cosse ép Cu 95mm2</t>
  </si>
  <si>
    <t>COS120</t>
  </si>
  <si>
    <t>Đầu cosse ép Cu 120mm2</t>
  </si>
  <si>
    <t>COS150</t>
  </si>
  <si>
    <t>Đầu cosse ép Cu 150mm2</t>
  </si>
  <si>
    <t>COS185</t>
  </si>
  <si>
    <t>Đầu cosse ép Cu 185mm2</t>
  </si>
  <si>
    <t>COS200</t>
  </si>
  <si>
    <t>Đầu cosse ép Cu 200mm2</t>
  </si>
  <si>
    <t>COS240</t>
  </si>
  <si>
    <t>Đầu cosse ép Cu 240mm2</t>
  </si>
  <si>
    <t>COS250</t>
  </si>
  <si>
    <t>03.4009</t>
  </si>
  <si>
    <t>Đầu cosse ép Cu 250mm2</t>
  </si>
  <si>
    <t>COS300</t>
  </si>
  <si>
    <t>Đầu cosse ép Cu 300mm2</t>
  </si>
  <si>
    <t>CHCOS11</t>
  </si>
  <si>
    <t>Chụp đầu cosse  11mm2</t>
  </si>
  <si>
    <t>CHCOS16</t>
  </si>
  <si>
    <t>Chụp đầu cosse  16mm2</t>
  </si>
  <si>
    <t>CHCOS25</t>
  </si>
  <si>
    <t>Chụp đầu cosse  25mm2</t>
  </si>
  <si>
    <t>CHCOS35</t>
  </si>
  <si>
    <t>Chụp đầu cosse  35mm2</t>
  </si>
  <si>
    <t>CHCOS50</t>
  </si>
  <si>
    <t>Chụp đầu cosse  50mm2</t>
  </si>
  <si>
    <t>CHCOS70</t>
  </si>
  <si>
    <t>Chụp đầu cosse  70mm2</t>
  </si>
  <si>
    <t>CHCOS95</t>
  </si>
  <si>
    <t>Chụp đầu cosse  95mm2</t>
  </si>
  <si>
    <t>CHCOS120</t>
  </si>
  <si>
    <t>Chụp đầu cosse  120mm2</t>
  </si>
  <si>
    <t>CHCOS150</t>
  </si>
  <si>
    <t>Chụp đầu cosse  150mm2</t>
  </si>
  <si>
    <t>CHCOS185</t>
  </si>
  <si>
    <t>Chụp đầu cosse  185mm2</t>
  </si>
  <si>
    <t>CHCOS200</t>
  </si>
  <si>
    <t>Chụp đầu cosse  200mm2</t>
  </si>
  <si>
    <t>CHCOS240</t>
  </si>
  <si>
    <t>Chụp đầu cosse  240mm2</t>
  </si>
  <si>
    <t>CHCOS250</t>
  </si>
  <si>
    <t>Chụp đầu cosse  250mm2</t>
  </si>
  <si>
    <t>CHCOS300</t>
  </si>
  <si>
    <t>Chụp đầu cosse  300mm2</t>
  </si>
  <si>
    <t>CHFCO</t>
  </si>
  <si>
    <t>Chụp đầu cực FCO (bộ 2 cái)</t>
  </si>
  <si>
    <t>CHLA</t>
  </si>
  <si>
    <t>Chụp đầu cực LA</t>
  </si>
  <si>
    <t>CHMBA</t>
  </si>
  <si>
    <t>Chụp đầu MBA</t>
  </si>
  <si>
    <t>CHQ-H</t>
  </si>
  <si>
    <t>Nắp chụp kẹp quai + hotline</t>
  </si>
  <si>
    <t>DK2x11</t>
  </si>
  <si>
    <t>Cáp điện kế DK - 2x11</t>
  </si>
  <si>
    <t>DVV7x1.5</t>
  </si>
  <si>
    <t>Cáp điều khiển 7x1,5</t>
  </si>
  <si>
    <t>Duplex 211</t>
  </si>
  <si>
    <t>Cáp Duplex 2x11</t>
  </si>
  <si>
    <t>Duplex 216</t>
  </si>
  <si>
    <t>Cáp Duplex 2x16</t>
  </si>
  <si>
    <t>Duplex 311</t>
  </si>
  <si>
    <t>Cáp Triplex 3x11</t>
  </si>
  <si>
    <t>Duplex 316</t>
  </si>
  <si>
    <t>Cáp Triplex 3x16</t>
  </si>
  <si>
    <t>Duplex 411</t>
  </si>
  <si>
    <t>Cáp Quadruplex 4x11</t>
  </si>
  <si>
    <t>Duplex 416</t>
  </si>
  <si>
    <t>Cáp Quadruplex 4x16</t>
  </si>
  <si>
    <t>DENHQ</t>
  </si>
  <si>
    <t>E2.003</t>
  </si>
  <si>
    <t>Bộ đèn huỳnh quang đơn 1,2m-40W</t>
  </si>
  <si>
    <t>D16/10</t>
  </si>
  <si>
    <t>Dây điện đôi 16/10</t>
  </si>
  <si>
    <t>D20/10</t>
  </si>
  <si>
    <t>Dây điện đôi 20/10</t>
  </si>
  <si>
    <t>D30/10</t>
  </si>
  <si>
    <t>Dây điện đôi 30/10</t>
  </si>
  <si>
    <t>DRC</t>
  </si>
  <si>
    <t>Dây rút cáp</t>
  </si>
  <si>
    <t>bọc</t>
  </si>
  <si>
    <t>CDAO15</t>
  </si>
  <si>
    <t>Cầu dao 15A - 600V</t>
  </si>
  <si>
    <t>CDAO30</t>
  </si>
  <si>
    <t>Cầu dao 30A - 600V</t>
  </si>
  <si>
    <t>CDAO60</t>
  </si>
  <si>
    <t>Cầu dao 60A - 600V</t>
  </si>
  <si>
    <t>CDAO100</t>
  </si>
  <si>
    <t>Cầu dao 100A - 600V</t>
  </si>
  <si>
    <t>CDAO150</t>
  </si>
  <si>
    <t>Cầu dao 150A - 600V</t>
  </si>
  <si>
    <t>CDAO200</t>
  </si>
  <si>
    <t>Cầu dao 200A - 600V</t>
  </si>
  <si>
    <t>CDAO250</t>
  </si>
  <si>
    <t>Cầu dao 250A - 600V</t>
  </si>
  <si>
    <t>CDAO300</t>
  </si>
  <si>
    <t>Cầu dao 300A - 600V</t>
  </si>
  <si>
    <t>PVC200</t>
  </si>
  <si>
    <t>Ống PVC D200 dày 9,6mm</t>
  </si>
  <si>
    <t>PVC168</t>
  </si>
  <si>
    <t>Ống PVC D168 dày 7,0mm</t>
  </si>
  <si>
    <t>PVC140</t>
  </si>
  <si>
    <t>Ống PVC D140x6,7mm</t>
  </si>
  <si>
    <t>PVC114</t>
  </si>
  <si>
    <t xml:space="preserve">Ống PVC D114x4,9mm </t>
  </si>
  <si>
    <t>PVC90</t>
  </si>
  <si>
    <t>04.8003</t>
  </si>
  <si>
    <t xml:space="preserve">Ống PVC D90x3,8mm </t>
  </si>
  <si>
    <t>PVC60</t>
  </si>
  <si>
    <t>07.2404</t>
  </si>
  <si>
    <t>Ống PVC D60x2,8mm</t>
  </si>
  <si>
    <t>PVC49</t>
  </si>
  <si>
    <t>07.2403</t>
  </si>
  <si>
    <t>Ống PVC D49x2,4mm</t>
  </si>
  <si>
    <t>PVC42</t>
  </si>
  <si>
    <t>Ống PVC D42x2,1mm</t>
  </si>
  <si>
    <t>PVC21</t>
  </si>
  <si>
    <t xml:space="preserve">Ống PVC D21x1,6mm </t>
  </si>
  <si>
    <t>ODH42</t>
  </si>
  <si>
    <t>Ống nhựa đàn hồi</t>
  </si>
  <si>
    <t>ONGDH168</t>
  </si>
  <si>
    <t>Ống đàn hồi 168</t>
  </si>
  <si>
    <t>ONGDH42</t>
  </si>
  <si>
    <t>Ống đàn hồi 42</t>
  </si>
  <si>
    <t>ONGDH114</t>
  </si>
  <si>
    <t>Ống đàn hồi 114</t>
  </si>
  <si>
    <t>CUT21</t>
  </si>
  <si>
    <t>Cut PVC 21</t>
  </si>
  <si>
    <t>CUT4245</t>
  </si>
  <si>
    <t>Co 45 độ PVC 42</t>
  </si>
  <si>
    <t>CUT42</t>
  </si>
  <si>
    <t>Co 90 độ PVC 42</t>
  </si>
  <si>
    <t>CUT42T</t>
  </si>
  <si>
    <t>Co chữ T ống PVC 42</t>
  </si>
  <si>
    <t>CUT60</t>
  </si>
  <si>
    <t>Co 90 độ PVC 60</t>
  </si>
  <si>
    <t>CUT60135</t>
  </si>
  <si>
    <t>Co 135 độ PVC 60</t>
  </si>
  <si>
    <t>CUT90</t>
  </si>
  <si>
    <t>Co sừng 90 độ PVC 90</t>
  </si>
  <si>
    <t>CUT90135</t>
  </si>
  <si>
    <t>Co 135 độ PVC 90</t>
  </si>
  <si>
    <t>CUT90T</t>
  </si>
  <si>
    <t>Co  90 độ PVC 90</t>
  </si>
  <si>
    <t>CUT114T</t>
  </si>
  <si>
    <t>Co  90 độ PVC 114</t>
  </si>
  <si>
    <t>CUT114</t>
  </si>
  <si>
    <t>Co sừng 90 độ PVC 114</t>
  </si>
  <si>
    <t>CUT140t</t>
  </si>
  <si>
    <t>Co 90 độ PVC 140</t>
  </si>
  <si>
    <t>CUT140</t>
  </si>
  <si>
    <t>Co sừng 90 độ PVC 140</t>
  </si>
  <si>
    <t>CUT168</t>
  </si>
  <si>
    <t>Co sừng 90 độ PVC 168</t>
  </si>
  <si>
    <t>NPVC114</t>
  </si>
  <si>
    <t>Nối ống PVC 114</t>
  </si>
  <si>
    <t>NPVC140</t>
  </si>
  <si>
    <t>Nối ống PVC 140</t>
  </si>
  <si>
    <t>NPVC114-90</t>
  </si>
  <si>
    <t>Nối ống PVC 114 - 90</t>
  </si>
  <si>
    <t>NPVC90</t>
  </si>
  <si>
    <t xml:space="preserve">Nối thẳng ống PVC 90 </t>
  </si>
  <si>
    <t>NPVC42</t>
  </si>
  <si>
    <t>Nối thẳng ống PVC 42</t>
  </si>
  <si>
    <t>NPVC21</t>
  </si>
  <si>
    <t>Nối thẳng ống PVC 21</t>
  </si>
  <si>
    <t>NT42</t>
  </si>
  <si>
    <t>Nối ống PVC 42 chữ T</t>
  </si>
  <si>
    <t>BAKE6200</t>
  </si>
  <si>
    <t>Tấm bakelit hay nhựa cách điện 600V (200x60x6)</t>
  </si>
  <si>
    <t>BAKE</t>
  </si>
  <si>
    <t xml:space="preserve">Bakelit 550x450 dầy 10mm </t>
  </si>
  <si>
    <t>BAKEDKDT</t>
  </si>
  <si>
    <t>Bakelit 350x510 dầy 5mm</t>
  </si>
  <si>
    <t>BAKETu</t>
  </si>
  <si>
    <t xml:space="preserve">Bakelit 300x200 dầy 5mm </t>
  </si>
  <si>
    <t>BANGG</t>
  </si>
  <si>
    <t>Bảng gắn aptomat và điện kế dày 15mm</t>
  </si>
  <si>
    <t>BANGNHUA</t>
  </si>
  <si>
    <t>Bảng nhựa gắn tủ điện kế điện tử</t>
  </si>
  <si>
    <t>BANGKEO</t>
  </si>
  <si>
    <t>Băng keo cách điện</t>
  </si>
  <si>
    <t>cuộn</t>
  </si>
  <si>
    <t>BAKE16-200X200</t>
  </si>
  <si>
    <t>Bake D16 - 200x200</t>
  </si>
  <si>
    <t>KEOBIT</t>
  </si>
  <si>
    <t>Keo silicon bít miệng ống</t>
  </si>
  <si>
    <t>ống</t>
  </si>
  <si>
    <t>KEM</t>
  </si>
  <si>
    <t>Kẽm</t>
  </si>
  <si>
    <t>keodan</t>
  </si>
  <si>
    <t>Keo dán ống PVC (100gr)</t>
  </si>
  <si>
    <t>tuýp</t>
  </si>
  <si>
    <t>KEO</t>
  </si>
  <si>
    <t>Keo dán ống PVC (500gr)</t>
  </si>
  <si>
    <t>lon</t>
  </si>
  <si>
    <t>KVRT42</t>
  </si>
  <si>
    <t>Khâu ven răng trong D42</t>
  </si>
  <si>
    <t>KVRT90</t>
  </si>
  <si>
    <t>Khâu ven răng trong D90</t>
  </si>
  <si>
    <t>KVRT114</t>
  </si>
  <si>
    <t>Khâu ven răng trong D114</t>
  </si>
  <si>
    <t>KVRT140</t>
  </si>
  <si>
    <t>Khâu ven răng trong D140</t>
  </si>
  <si>
    <t>KVRN42</t>
  </si>
  <si>
    <t>Khâu ven răng ngoài D42</t>
  </si>
  <si>
    <t>KVRN90</t>
  </si>
  <si>
    <t>Khâu ven răng ngoài D90</t>
  </si>
  <si>
    <t>KVRN114</t>
  </si>
  <si>
    <t>Khâu ven răng ngoài D114</t>
  </si>
  <si>
    <t>KVRN140</t>
  </si>
  <si>
    <t>Khâu ven răng ngoài D140</t>
  </si>
  <si>
    <t>OXC</t>
  </si>
  <si>
    <t>Ốc xiết cáp</t>
  </si>
  <si>
    <t>OXC1/0</t>
  </si>
  <si>
    <t>Ốc xiết cáp Cu - Al 1/0</t>
  </si>
  <si>
    <t>OXC2/0</t>
  </si>
  <si>
    <t>Ốc xiết cáp Cu - Al 2/0</t>
  </si>
  <si>
    <t>OXCth</t>
  </si>
  <si>
    <t xml:space="preserve">Ốc xiết cáp Cu-AL cở thích hợp </t>
  </si>
  <si>
    <t>OXC11</t>
  </si>
  <si>
    <t xml:space="preserve">Ốc xiết cáp cỡ 11mm2 </t>
  </si>
  <si>
    <t>OXC22</t>
  </si>
  <si>
    <t xml:space="preserve">Ốc xiết cáp cỡ 22mm2 </t>
  </si>
  <si>
    <t>OXC25</t>
  </si>
  <si>
    <t>Ốc xiết cáp cỡ 25mm2</t>
  </si>
  <si>
    <t>OXC38</t>
  </si>
  <si>
    <t xml:space="preserve">Ốc xiết cáp cỡ 38mm2 </t>
  </si>
  <si>
    <t>OXC50</t>
  </si>
  <si>
    <t xml:space="preserve">Ốc xiết cáp cỡ 50mm2 </t>
  </si>
  <si>
    <t>OXC70</t>
  </si>
  <si>
    <t xml:space="preserve">Ốc xiết cáp cỡ 70mm2 </t>
  </si>
  <si>
    <t>OXC95</t>
  </si>
  <si>
    <t xml:space="preserve">Ốc xiết cáp cỡ 95mm2 </t>
  </si>
  <si>
    <t>OXC120</t>
  </si>
  <si>
    <t xml:space="preserve">Ốc xiết cáp cỡ 120mm2 </t>
  </si>
  <si>
    <t>OXC150</t>
  </si>
  <si>
    <t>Ốc xiết cáp cỡ 150mm2</t>
  </si>
  <si>
    <t>OXC185</t>
  </si>
  <si>
    <t>Ốc xiết cáp cỡ 185mm2</t>
  </si>
  <si>
    <t>OXC240</t>
  </si>
  <si>
    <t>Ốc xiết cáp cỡ 240mm2</t>
  </si>
  <si>
    <t>KHOA</t>
  </si>
  <si>
    <t>Ổ khóa</t>
  </si>
  <si>
    <t>oxy</t>
  </si>
  <si>
    <t>Ô xy gió</t>
  </si>
  <si>
    <t>LCbh9</t>
  </si>
  <si>
    <t>NB.1110</t>
  </si>
  <si>
    <t>Gia công và lắp dựng cột báo hiệu cao 9m</t>
  </si>
  <si>
    <t>Tấn</t>
  </si>
  <si>
    <t>LBbh</t>
  </si>
  <si>
    <t>NB.1710</t>
  </si>
  <si>
    <t>Gia công và lắp dựng bảng báo hiệu</t>
  </si>
  <si>
    <t>LTC</t>
  </si>
  <si>
    <t>Gia công và lắp thanh cái và phụ kiện trong tủ</t>
  </si>
  <si>
    <t>SonCBH</t>
  </si>
  <si>
    <t>S2.118</t>
  </si>
  <si>
    <t>Sơn cột báo hiệu</t>
  </si>
  <si>
    <t>SonBBH</t>
  </si>
  <si>
    <t>Sơn biển báo hiệu</t>
  </si>
  <si>
    <t>VCT</t>
  </si>
  <si>
    <t>021351</t>
  </si>
  <si>
    <t>Vận Chuyển thép</t>
  </si>
  <si>
    <t>U16-280</t>
  </si>
  <si>
    <t>05.6105</t>
  </si>
  <si>
    <t>Đà U160x68x5x2800 đỡ MBA</t>
  </si>
  <si>
    <t>U20-280</t>
  </si>
  <si>
    <t>Đà U200x80x5x2800 đỡ MBA</t>
  </si>
  <si>
    <t>U1008</t>
  </si>
  <si>
    <t xml:space="preserve">Đà U100x46x5x800 </t>
  </si>
  <si>
    <t>U8034</t>
  </si>
  <si>
    <t>04.8105</t>
  </si>
  <si>
    <t>Đà sắt U80x340</t>
  </si>
  <si>
    <t>U1004</t>
  </si>
  <si>
    <t xml:space="preserve">Đà U100x46x4.5x400 </t>
  </si>
  <si>
    <t>XATUTI</t>
  </si>
  <si>
    <t>Xà kẹp TU, TI U50x32x4 350</t>
  </si>
  <si>
    <t>AK1</t>
  </si>
  <si>
    <t xml:space="preserve">Ampe kế 100/5A-600v +AS </t>
  </si>
  <si>
    <t>VK1</t>
  </si>
  <si>
    <t>Volt kế 500V + VS + 2xChì ống 1A-230V</t>
  </si>
  <si>
    <t>AVK1</t>
  </si>
  <si>
    <t>Bộ Ampe kế + Volt kế (trạm 1 pha)</t>
  </si>
  <si>
    <t>AVK3</t>
  </si>
  <si>
    <t>Bộ Ampe kế + Volt kế (trạm 3 pha)</t>
  </si>
  <si>
    <t>axetylen</t>
  </si>
  <si>
    <t>Hơi Axetylen</t>
  </si>
  <si>
    <t>GIP11-11</t>
  </si>
  <si>
    <t>Ghíp nối IPC 11-11</t>
  </si>
  <si>
    <t>GIP22-11</t>
  </si>
  <si>
    <t>Ghíp nối IPC 22-11</t>
  </si>
  <si>
    <t>GIP22-22</t>
  </si>
  <si>
    <t>Ghíp nối IPC 22-22</t>
  </si>
  <si>
    <t>GIP35-35</t>
  </si>
  <si>
    <t>Ghíp nối IPC 35-35</t>
  </si>
  <si>
    <t>GIP50-25</t>
  </si>
  <si>
    <t>Ghíp nối IPC 50-25 1 bulong</t>
  </si>
  <si>
    <t>GIP50-35</t>
  </si>
  <si>
    <t>Ghíp nối IPC 50-35</t>
  </si>
  <si>
    <t>GIP70-35</t>
  </si>
  <si>
    <t>Ghíp nối IPC 70-35</t>
  </si>
  <si>
    <t>GIP95-25</t>
  </si>
  <si>
    <t>Ghíp nối IPC 95-25</t>
  </si>
  <si>
    <t>GIP95-35</t>
  </si>
  <si>
    <t>Ghíp nối IPC 95-35</t>
  </si>
  <si>
    <t>GIP120-35</t>
  </si>
  <si>
    <t>Ghíp nối IPC 120-35</t>
  </si>
  <si>
    <t>GIP50-50</t>
  </si>
  <si>
    <t>Ghíp nối IPC 50-50 1 bulong</t>
  </si>
  <si>
    <t>GIP70-50</t>
  </si>
  <si>
    <t>Ghíp nối IPC 70-50 1 bulong</t>
  </si>
  <si>
    <t>GIP95-50</t>
  </si>
  <si>
    <t>Ghíp nối IPC 95-50 1 bulong</t>
  </si>
  <si>
    <t>GIP120-50</t>
  </si>
  <si>
    <t>Ghíp nối IPC 120-50</t>
  </si>
  <si>
    <t>GIP150-50</t>
  </si>
  <si>
    <t>Ghíp nối IPC 150-50</t>
  </si>
  <si>
    <t>GIP70-70</t>
  </si>
  <si>
    <t>Ghíp nối IPC 70-70</t>
  </si>
  <si>
    <t>GIP95-70</t>
  </si>
  <si>
    <t>Ghíp nối IPC 95-70</t>
  </si>
  <si>
    <t>GIP120-70</t>
  </si>
  <si>
    <t>Ghíp nối IPC 120-70</t>
  </si>
  <si>
    <t>GIP150-70</t>
  </si>
  <si>
    <t>Ghíp nối IPC 150-70</t>
  </si>
  <si>
    <t>GIP95-95</t>
  </si>
  <si>
    <t>Ghíp nối IPC 95-95</t>
  </si>
  <si>
    <t>GIP95-120</t>
  </si>
  <si>
    <t>Ghíp nối IPC 95-120</t>
  </si>
  <si>
    <t>GIP95-150</t>
  </si>
  <si>
    <t>Ghíp nối IPC 95-150</t>
  </si>
  <si>
    <t>KQDUPLEX35</t>
  </si>
  <si>
    <t>06.7003</t>
  </si>
  <si>
    <t>Kéo dây quadruplex CV-4x35-0.6/1kV</t>
  </si>
  <si>
    <t>KQDUPLEX22</t>
  </si>
  <si>
    <t>06.7002</t>
  </si>
  <si>
    <t>Kéo dây quadruplex CV-4x22-0.6/1kV</t>
  </si>
  <si>
    <t>KQDUPLEX16</t>
  </si>
  <si>
    <t>06.7001</t>
  </si>
  <si>
    <t>Kéo dây quadruplex CV-4x16-0.6/1kV</t>
  </si>
  <si>
    <t>KQDUPLEX14</t>
  </si>
  <si>
    <t>Kéo dây quadruplex CV-4x14-0.6/1kV</t>
  </si>
  <si>
    <t>KQDUPLEX11</t>
  </si>
  <si>
    <t>Kéo dây quadruplex CV-4x11-0.6/1kV</t>
  </si>
  <si>
    <t>KTriplex16</t>
  </si>
  <si>
    <t>Kéo dây triplex CV-3x16-0.6/1kV</t>
  </si>
  <si>
    <t>KDUPLEX11</t>
  </si>
  <si>
    <t>Kéo dây duplex CV-2x11-0.6/1kV</t>
  </si>
  <si>
    <t>Diabaohieu</t>
  </si>
  <si>
    <t>Đĩa sứ trắng báo hiệu cáp ngầm</t>
  </si>
  <si>
    <t>Denbao</t>
  </si>
  <si>
    <t>Đèn báo hiệu pha 5W-220V</t>
  </si>
  <si>
    <t>Đơn giá chiếu sáng</t>
  </si>
  <si>
    <t>TUDKCS</t>
  </si>
  <si>
    <t>CS4.09.021</t>
  </si>
  <si>
    <t>Tủ điều khiển chiếu sáng</t>
  </si>
  <si>
    <t>TRTHEP6</t>
  </si>
  <si>
    <t>Trụ thép tròn cao 6 mét</t>
  </si>
  <si>
    <t>TRTHEP7</t>
  </si>
  <si>
    <t>Trụ thép tròn cao 7 mét</t>
  </si>
  <si>
    <t>D12 CS</t>
  </si>
  <si>
    <t>Đà cản BTCT 1,2m (Nhân công đã qui đổi sang ĐG chiếu sáng)</t>
  </si>
  <si>
    <t>CDDON</t>
  </si>
  <si>
    <t>Cần đèn STK D60 đơn cao 2m vươn 1,5m nghiêng 15 độ</t>
  </si>
  <si>
    <t>cần</t>
  </si>
  <si>
    <t>CDDOI</t>
  </si>
  <si>
    <t>Cần đèn STK D60 đôi cao 2m vươn 1,5m nghiêng 15 độ</t>
  </si>
  <si>
    <t>CD-Sonadezi</t>
  </si>
  <si>
    <t>Cần đèn STK D60 đơn cao 1,7m vươn 2,8m (CĐT cung cấp)</t>
  </si>
  <si>
    <t>CDDON+C</t>
  </si>
  <si>
    <t>Cần đèn STK D60 đơn cao 1m vươn 1,8m nghiêng 15 độ + chụp đầu trụ</t>
  </si>
  <si>
    <t>CDDOI+C</t>
  </si>
  <si>
    <t>Cần đèn STK D60 đôi cao 1m vươn 1,8m nghiêng 15 độ + chụp đầu trụ</t>
  </si>
  <si>
    <t>CDBA</t>
  </si>
  <si>
    <t>Cần đèn STK D60 ba cao 1mét vươn 1,8 mét góc nghiêng 15 độ</t>
  </si>
  <si>
    <t>DEN</t>
  </si>
  <si>
    <t>Choá đèn 73FS 10 + bóng OSAM-250W + tụ điện + ballast</t>
  </si>
  <si>
    <t>DEN-sonadezi</t>
  </si>
  <si>
    <t>Choá đèn + bóng 250W (CĐT cung cấp)</t>
  </si>
  <si>
    <t>CHI5</t>
  </si>
  <si>
    <t>Cầu chì nhựa trong nhà 5A+ chì 5A</t>
  </si>
  <si>
    <t>DOMINO</t>
  </si>
  <si>
    <t>Đômino đấu nối trong trụ đèn</t>
  </si>
  <si>
    <t>LCAN+C</t>
  </si>
  <si>
    <t>CS3.02.011</t>
  </si>
  <si>
    <t>Lắp cần đèn +  chụp đầu cột hạ thế ≤ 10,5m</t>
  </si>
  <si>
    <t>LCAN2,8</t>
  </si>
  <si>
    <t>CS3.03.011</t>
  </si>
  <si>
    <t>Lắp cần đèn D60 ≤ 2,8m</t>
  </si>
  <si>
    <t>LCAN3,2</t>
  </si>
  <si>
    <t>CS3.03.012</t>
  </si>
  <si>
    <t>Lắp cần đèn D60 ≤ 3,2m</t>
  </si>
  <si>
    <t>LTD-DEN</t>
  </si>
  <si>
    <t>CS3.07.023</t>
  </si>
  <si>
    <t>Lắp dây tiếp địa CS</t>
  </si>
  <si>
    <t>LDEN</t>
  </si>
  <si>
    <t>CS3.05.001</t>
  </si>
  <si>
    <t>Lắp chóa đèn chiếu sáng ≤ 12m</t>
  </si>
  <si>
    <t>LTRUDEN</t>
  </si>
  <si>
    <t>CS3.01.013</t>
  </si>
  <si>
    <t>Lắp trụ thép ≤ 8m bằng thủ công</t>
  </si>
  <si>
    <t>LBTLT</t>
  </si>
  <si>
    <t>CS3.01.021</t>
  </si>
  <si>
    <t>Lắp trụ BTLT ≤ 10m bằng cơ giới</t>
  </si>
  <si>
    <t>LUONDAY</t>
  </si>
  <si>
    <t>CS4.08.010</t>
  </si>
  <si>
    <t>Luồn dây lên đèn</t>
  </si>
  <si>
    <t>KCAPDEN</t>
  </si>
  <si>
    <t>CS4.02.011</t>
  </si>
  <si>
    <t>Kéo rải cáp chiếu sáng D&lt;25</t>
  </si>
  <si>
    <t>KCAPDEN25</t>
  </si>
  <si>
    <t>CS4.02.021</t>
  </si>
  <si>
    <t>Kéo rải cáp chiếu sáng D&gt;25</t>
  </si>
  <si>
    <t>LCAPDEN</t>
  </si>
  <si>
    <t>CS4.04.010</t>
  </si>
  <si>
    <t>Lắp rải cáp ngầm chiếu sáng</t>
  </si>
  <si>
    <t>LDAUCAPCS</t>
  </si>
  <si>
    <t>CS4.03.010</t>
  </si>
  <si>
    <t>Lắp đầu cáp ngầm chiếu sáng</t>
  </si>
  <si>
    <t>Lcauchi</t>
  </si>
  <si>
    <t>CS4.03.020</t>
  </si>
  <si>
    <t>Lắp cầu chì đuôi cá</t>
  </si>
  <si>
    <t>LPVC60CL CS</t>
  </si>
  <si>
    <t>Lắp ống PVC D60 (Nhân công đã qui đổi về ĐG chiếu sáng)</t>
  </si>
  <si>
    <t>LPVC90CL CS</t>
  </si>
  <si>
    <t>07,2406</t>
  </si>
  <si>
    <t>Lắp ống PVC D90 (Nhân công đã qui đổi về ĐG chiếu sáng)</t>
  </si>
  <si>
    <t>LSTK120d CS</t>
  </si>
  <si>
    <t>Lắp ống sắt d&lt;120mm (Nhân công đã qui đổi về ĐG chiếu sáng)</t>
  </si>
  <si>
    <t>LGACH CS</t>
  </si>
  <si>
    <t>Lắp gạch mương CS (Nhân công đã qui đổi về ĐG chiếu sáng)</t>
  </si>
  <si>
    <t>DMCS</t>
  </si>
  <si>
    <t>CS1.01.160</t>
  </si>
  <si>
    <t>Đào đất mương cáp CS</t>
  </si>
  <si>
    <t>DDMCS3</t>
  </si>
  <si>
    <t>CS1.02.023</t>
  </si>
  <si>
    <t>Đắp đất mương cáp CS đất cấp 3</t>
  </si>
  <si>
    <t>DCatMCS</t>
  </si>
  <si>
    <t>CS1.02.024</t>
  </si>
  <si>
    <t>Đắp cát mương cáp CS</t>
  </si>
  <si>
    <t>DMongCS</t>
  </si>
  <si>
    <t>CS1.01.140</t>
  </si>
  <si>
    <t>Đào móng trụ CS sâu ≤ 1m trên vỉa hè</t>
  </si>
  <si>
    <t>DMongCS1</t>
  </si>
  <si>
    <t>CS1.01.150</t>
  </si>
  <si>
    <t>Đào móng trụ CS sâu &gt;1m trên vỉa hè</t>
  </si>
  <si>
    <t>DDMongCS3</t>
  </si>
  <si>
    <t>CS1.02.013</t>
  </si>
  <si>
    <t>Đắp đất móng trụ CS, đất cấp 3</t>
  </si>
  <si>
    <t>DCatMongCS</t>
  </si>
  <si>
    <t>CS1.02.014</t>
  </si>
  <si>
    <t>Đắp cát móng trụ CS</t>
  </si>
  <si>
    <t>DongCTD</t>
  </si>
  <si>
    <t>CS3.07.012</t>
  </si>
  <si>
    <t>Đóng cọc tiếp địa hệ thống CS</t>
  </si>
  <si>
    <t>DBTM150</t>
  </si>
  <si>
    <t>CS2.01.011</t>
  </si>
  <si>
    <t>Đổ bêtông móng trụ M150 đá 1x2</t>
  </si>
  <si>
    <t>DBTM150CS</t>
  </si>
  <si>
    <t>Đổ bêtông móng trụ M150 &lt;=250cm</t>
  </si>
  <si>
    <t>DBT20012CS</t>
  </si>
  <si>
    <t>04.3323</t>
  </si>
  <si>
    <t>Đổ betông M200 đá 1x2 (Nhân công đã qui đổi về ĐG chiếu sáng)</t>
  </si>
  <si>
    <t>HopCBpd</t>
  </si>
  <si>
    <t>Hộp CB phân đoạn</t>
  </si>
  <si>
    <t>hộp</t>
  </si>
  <si>
    <t>CCĐMBA</t>
  </si>
  <si>
    <t>Chụp cách điện đầu cực MBA</t>
  </si>
  <si>
    <t>CCĐfco</t>
  </si>
  <si>
    <t>Chụp cách điện đầu cực FCO (trên + dưới)</t>
  </si>
  <si>
    <t>CCĐLA</t>
  </si>
  <si>
    <t>Chụp cách điện đầu cực LA</t>
  </si>
  <si>
    <t>CCDQU</t>
  </si>
  <si>
    <t>Chụp cách điện kẹp quai</t>
  </si>
  <si>
    <t>TDLLCD</t>
  </si>
  <si>
    <t>Bộ tiếp địa cố định</t>
  </si>
  <si>
    <t>PK</t>
  </si>
  <si>
    <t>V/c phụ kiện vào vị trí (cự ly &lt;=100m)</t>
  </si>
  <si>
    <t>DAY</t>
  </si>
  <si>
    <t>DCTC</t>
  </si>
  <si>
    <t>V/c dụng cụ thi công vào vị trí (cự ly &lt;=100m)</t>
  </si>
  <si>
    <t>THEP</t>
  </si>
  <si>
    <t>XIMANG</t>
  </si>
  <si>
    <t>vcCAT</t>
  </si>
  <si>
    <t>DADAM</t>
  </si>
  <si>
    <t>DA</t>
  </si>
  <si>
    <t>TD</t>
  </si>
  <si>
    <t>DN</t>
  </si>
  <si>
    <t>vcNX</t>
  </si>
  <si>
    <t>COT</t>
  </si>
  <si>
    <t>XA</t>
  </si>
  <si>
    <t>ctram</t>
  </si>
  <si>
    <t>M7</t>
  </si>
  <si>
    <t>Móng M7</t>
  </si>
  <si>
    <t>Móng</t>
  </si>
  <si>
    <t>Bộ dự toán</t>
  </si>
  <si>
    <t>M7a</t>
  </si>
  <si>
    <t>Móng M7a</t>
  </si>
  <si>
    <t>M7b</t>
  </si>
  <si>
    <t>Móng M7b</t>
  </si>
  <si>
    <t>M7aa</t>
  </si>
  <si>
    <t>Móng M7aa</t>
  </si>
  <si>
    <t>M7ba</t>
  </si>
  <si>
    <t>Móng M7ba</t>
  </si>
  <si>
    <t>M7-2a</t>
  </si>
  <si>
    <t>Móng M7-2a</t>
  </si>
  <si>
    <t>M8</t>
  </si>
  <si>
    <t>Móng M8</t>
  </si>
  <si>
    <t>M8a</t>
  </si>
  <si>
    <t>Móng M8a</t>
  </si>
  <si>
    <t>M8BT Đơn</t>
  </si>
  <si>
    <t>Móng bê tông trụ đơn 8,4m</t>
  </si>
  <si>
    <t>M7BT Đôi</t>
  </si>
  <si>
    <t>Móng bê tông trụ đôi 7,5m</t>
  </si>
  <si>
    <t>M8b</t>
  </si>
  <si>
    <t>Móng M8b</t>
  </si>
  <si>
    <t>M8aa</t>
  </si>
  <si>
    <t>Móng M8aa</t>
  </si>
  <si>
    <t>M8ba</t>
  </si>
  <si>
    <t>Móng M8ba</t>
  </si>
  <si>
    <t>M8bb</t>
  </si>
  <si>
    <t>Móng M8bb</t>
  </si>
  <si>
    <t>M8-2a</t>
  </si>
  <si>
    <t>Móng M8-2a</t>
  </si>
  <si>
    <t>M10</t>
  </si>
  <si>
    <t>Móng M10</t>
  </si>
  <si>
    <t>M10a</t>
  </si>
  <si>
    <t xml:space="preserve">Móng M10a </t>
  </si>
  <si>
    <t>M10b</t>
  </si>
  <si>
    <t>Móng M10b</t>
  </si>
  <si>
    <t>M10BT ĐƠN</t>
  </si>
  <si>
    <t>Móng bê tông trụ đơn 10.5m</t>
  </si>
  <si>
    <t>M10aa</t>
  </si>
  <si>
    <t>Móng M10aa</t>
  </si>
  <si>
    <t>M10ba</t>
  </si>
  <si>
    <t>Móng M10ba</t>
  </si>
  <si>
    <t>M10bb</t>
  </si>
  <si>
    <t>Móng M10bb</t>
  </si>
  <si>
    <t>M10-2bn</t>
  </si>
  <si>
    <t>Móng M10-2bn</t>
  </si>
  <si>
    <t>M10-2a</t>
  </si>
  <si>
    <t>Móng M10-2a</t>
  </si>
  <si>
    <t>M10-2b</t>
  </si>
  <si>
    <t>Móng M10-2b</t>
  </si>
  <si>
    <t>M12</t>
  </si>
  <si>
    <t>Móng M12</t>
  </si>
  <si>
    <t>M12a</t>
  </si>
  <si>
    <t>Móng M12a</t>
  </si>
  <si>
    <t>M12b</t>
  </si>
  <si>
    <t>Móng M12b</t>
  </si>
  <si>
    <t>M12aa</t>
  </si>
  <si>
    <t>Móng M12aa</t>
  </si>
  <si>
    <t>M12ba</t>
  </si>
  <si>
    <t>Móng M12ba</t>
  </si>
  <si>
    <t>M12bb</t>
  </si>
  <si>
    <t>Móng M12bb</t>
  </si>
  <si>
    <t>M12-2bn</t>
  </si>
  <si>
    <t>Móng M12-2bn</t>
  </si>
  <si>
    <t>M12-2a</t>
  </si>
  <si>
    <t>Móng M12-2a</t>
  </si>
  <si>
    <t>M12-2b</t>
  </si>
  <si>
    <t>Móng M12-2b</t>
  </si>
  <si>
    <t>M12b-aa(hh)</t>
  </si>
  <si>
    <t>Móng M12b-aa(hh)</t>
  </si>
  <si>
    <t>M12b-2a(hh)</t>
  </si>
  <si>
    <t>Móng M12b-2a(hh)</t>
  </si>
  <si>
    <t>M12 PĐ</t>
  </si>
  <si>
    <t>Móng M12 phá đá</t>
  </si>
  <si>
    <t>M12BT ĐƠN</t>
  </si>
  <si>
    <t>Móng bê tông trụ đơn 12m</t>
  </si>
  <si>
    <t>M12BT ĐÔI</t>
  </si>
  <si>
    <t>Móng bê tông trụ đôi 12m</t>
  </si>
  <si>
    <t>M12 CN</t>
  </si>
  <si>
    <t>Móng chống ngập nước</t>
  </si>
  <si>
    <t>M12BT P500</t>
  </si>
  <si>
    <t>Móng bê tông trụ đôi 12m tim 500</t>
  </si>
  <si>
    <t>M14</t>
  </si>
  <si>
    <t>Móng M14</t>
  </si>
  <si>
    <t>M14a</t>
  </si>
  <si>
    <t>Móng M14a</t>
  </si>
  <si>
    <t>M14b</t>
  </si>
  <si>
    <t>Móng M14b</t>
  </si>
  <si>
    <t>M14BT ĐƠN</t>
  </si>
  <si>
    <t>Móng bê tông trụ đơn 14m</t>
  </si>
  <si>
    <t>M14aa</t>
  </si>
  <si>
    <t>Móng M14aa</t>
  </si>
  <si>
    <t>M14ba</t>
  </si>
  <si>
    <t>Móng M14ba</t>
  </si>
  <si>
    <t>M14bb</t>
  </si>
  <si>
    <t>Móng M14bb</t>
  </si>
  <si>
    <t>M14-2bn</t>
  </si>
  <si>
    <t>Móng M14-2bn</t>
  </si>
  <si>
    <t>M14-2a</t>
  </si>
  <si>
    <t>Móng M14-2a</t>
  </si>
  <si>
    <t>M14-2b</t>
  </si>
  <si>
    <t>Móng M14-2b</t>
  </si>
  <si>
    <t>M14-4b</t>
  </si>
  <si>
    <t>Móng M14-4b</t>
  </si>
  <si>
    <t>BTCL-14-500</t>
  </si>
  <si>
    <t>Móng BTCL-14-500</t>
  </si>
  <si>
    <t>M20-4b</t>
  </si>
  <si>
    <t>Móng M20-4b</t>
  </si>
  <si>
    <t>MTUPP</t>
  </si>
  <si>
    <t>Móng tủ phân phối hạ thế</t>
  </si>
  <si>
    <t>móng</t>
  </si>
  <si>
    <t>MTUCS</t>
  </si>
  <si>
    <t>Móng tủ điều khiển chiếu sáng</t>
  </si>
  <si>
    <t>TD75</t>
  </si>
  <si>
    <t>Tiếp địa lặp lại (trụ 7.5m)</t>
  </si>
  <si>
    <t>TD85</t>
  </si>
  <si>
    <t>Tiếp địa lặp lại (trụ 8.4m)</t>
  </si>
  <si>
    <t>TD85ABC</t>
  </si>
  <si>
    <t>Tiếp địa lặp lại trụ 7,5m cáp ABC</t>
  </si>
  <si>
    <t>TDTUPP</t>
  </si>
  <si>
    <t>Tiếp địa tủ phân phối hạ thế</t>
  </si>
  <si>
    <t>TDTT105</t>
  </si>
  <si>
    <t>Tiếp địa lặp lại (trụ 10.5m)</t>
  </si>
  <si>
    <t>TDTT12</t>
  </si>
  <si>
    <t>Tiếp địa lặp lại (trụ 12m)</t>
  </si>
  <si>
    <t>TDLL12</t>
  </si>
  <si>
    <t>Tiếp địa lặp lại trụ 12m</t>
  </si>
  <si>
    <t>TDDD12</t>
  </si>
  <si>
    <t>Tiếp địa trụ recloser và TBA 1 pha</t>
  </si>
  <si>
    <t>TDTT14</t>
  </si>
  <si>
    <t>Tiếp địa lặp lại (trụ 14m)</t>
  </si>
  <si>
    <t>TDTT20</t>
  </si>
  <si>
    <t>Tiếp địa lặp lại (trụ 20m)</t>
  </si>
  <si>
    <t>TDMT</t>
  </si>
  <si>
    <t>Tiếp địa mái tole</t>
  </si>
  <si>
    <t>TDDD</t>
  </si>
  <si>
    <t>Tiếp địa trụ đo đếm</t>
  </si>
  <si>
    <t>TRUTHEP</t>
  </si>
  <si>
    <t>Trụ thép bát giác cao 6m</t>
  </si>
  <si>
    <t>Trụ</t>
  </si>
  <si>
    <t>BTLT 7.5</t>
  </si>
  <si>
    <t>Trụ bê tông ly tâm 7.5m</t>
  </si>
  <si>
    <t>BTLT 8.5</t>
  </si>
  <si>
    <t>Trụ bê tông ly tâm 8.4m</t>
  </si>
  <si>
    <t xml:space="preserve">BTLT 8.4 </t>
  </si>
  <si>
    <t>Trụ bê tông ly tâm 8.4m không dây tiếp địa</t>
  </si>
  <si>
    <t>BTLT 8.4TD</t>
  </si>
  <si>
    <t>Trụ bê tông ly tâm 8.4m có dây tiếp địa</t>
  </si>
  <si>
    <t>N-BTLT 8.4</t>
  </si>
  <si>
    <t>Nhổ trụ 8,4m</t>
  </si>
  <si>
    <t>N-T-BTLT 8.4</t>
  </si>
  <si>
    <t>Nhổ và trồng trụ 8,4m</t>
  </si>
  <si>
    <t>BTLT 10.5</t>
  </si>
  <si>
    <t>Trụ bê tông ly tâm 10.5m</t>
  </si>
  <si>
    <t>N-BTLT 10.5</t>
  </si>
  <si>
    <t>Nhổ trụ bê tông ly tâm 10.5m</t>
  </si>
  <si>
    <t>BTLT 12 TC</t>
  </si>
  <si>
    <t>Trụ bê tông ly tâm 12m trồng thủ công</t>
  </si>
  <si>
    <t xml:space="preserve">BTLT 12 </t>
  </si>
  <si>
    <t>Trụ bê tông ly tâm 12m trồng thủ công+cơ giới</t>
  </si>
  <si>
    <t>BTLT 12 TĐ</t>
  </si>
  <si>
    <t>Trụ bê tông ly tâm 12m (tiếp địa có sẵn) trồng thủ công+cơ giới</t>
  </si>
  <si>
    <t>BTLT 14</t>
  </si>
  <si>
    <t>Trụ bê tông ly tâm 14m</t>
  </si>
  <si>
    <t>BTLT 20</t>
  </si>
  <si>
    <t>Trụ bê tông ly tâm 20m</t>
  </si>
  <si>
    <t>X-24COMPOSITE</t>
  </si>
  <si>
    <t>Bộ xà composite 2,4m bắt FCO</t>
  </si>
  <si>
    <t>X-1,66Đ</t>
  </si>
  <si>
    <t>Bộ xà đơn L75x75x8 dài 1,66m:  X-1,66Đ</t>
  </si>
  <si>
    <t>X-1,66K</t>
  </si>
  <si>
    <t>Bộ xà kép L75x75x8 dài 1,66m:  X-1,66K</t>
  </si>
  <si>
    <t>X-22Kk</t>
  </si>
  <si>
    <t>Bộ xà kép L75x75x8 dài 2.2m: X-22K-Đ - C810 (lắp trụ đơn)</t>
  </si>
  <si>
    <t>X-22K-Đ</t>
  </si>
  <si>
    <t>X-20Đ</t>
  </si>
  <si>
    <t>Bộ xà đơn L75x75x8 dài 2m:  X-20Đ</t>
  </si>
  <si>
    <t>X-20K</t>
  </si>
  <si>
    <t xml:space="preserve">Bộ xà kép L75x75x8 dài 2m: X-20K </t>
  </si>
  <si>
    <t>X-22Đ</t>
  </si>
  <si>
    <t>Bộ xà đơn L75x75x8 dài 2.2m: X-22Đ - C810</t>
  </si>
  <si>
    <t>X-22K</t>
  </si>
  <si>
    <t>X-22Đ - C920</t>
  </si>
  <si>
    <t>Bộ xà đơn L75x75x8 dài 2.2m: X-22Đ - C920</t>
  </si>
  <si>
    <t>TL X-21K</t>
  </si>
  <si>
    <t xml:space="preserve">Tháo và lắp bộ xà kép L75x75x8 dài 2.1m: X-21K </t>
  </si>
  <si>
    <t>X-22K-K</t>
  </si>
  <si>
    <t>Bộ xà kép L75x75x8 dài 2.2m: X-22K-K - C810 (lắp theo hướng trụ ghép)</t>
  </si>
  <si>
    <t>X-22K - C920</t>
  </si>
  <si>
    <t>Bộ xà kép L75x75x8 dài 2.2m: X-22K - C920</t>
  </si>
  <si>
    <t>X-24Đ</t>
  </si>
  <si>
    <t xml:space="preserve">Bộ xà đơn L75x75x8 dài 2.4m: X-24Đ </t>
  </si>
  <si>
    <t>X-24K</t>
  </si>
  <si>
    <t xml:space="preserve">Bộ xà kép L75x75x8 dài 2.4m: X-24K </t>
  </si>
  <si>
    <t>TL X-26K</t>
  </si>
  <si>
    <t xml:space="preserve">Tháo và lắp bộ xà kép L75x75x8 dài 2.6m: X-26K_trụ PI </t>
  </si>
  <si>
    <t>X-8ĐL</t>
  </si>
  <si>
    <t>Bộ xà lệch đơn L75x75x8 dài 0,8m: X-8ĐL</t>
  </si>
  <si>
    <t>X-8KL</t>
  </si>
  <si>
    <t>Bộ xà lệch kép L75x75x8 dài 0,8m: X-8KL</t>
  </si>
  <si>
    <t>X-21ĐL</t>
  </si>
  <si>
    <t>Bộ xà lệch đơn L75x75x8 dài 2,1m: X-21ĐL</t>
  </si>
  <si>
    <t>X-21KL</t>
  </si>
  <si>
    <t>Bộ xà lệch kép L75x75x8 dài 2,1m: X-21KL</t>
  </si>
  <si>
    <t>X-20ĐL2/3</t>
  </si>
  <si>
    <t>Bộ xà lệch đơn L75x75x8 dài 2m: X-20ĐL2/3</t>
  </si>
  <si>
    <t>X-20KL2/3</t>
  </si>
  <si>
    <t>Bộ xà lệch kép L75x75x8 dài 2m: X-20KL2/3</t>
  </si>
  <si>
    <t>X-24ĐP</t>
  </si>
  <si>
    <t>Bộ xà đơn 2400 trụ Pi tim 1400: X-24ĐP</t>
  </si>
  <si>
    <t>X-24KP</t>
  </si>
  <si>
    <t>Bộ xà kép 2400 trụ Pi tim 1400: X-24KP</t>
  </si>
  <si>
    <t>X-26ĐP</t>
  </si>
  <si>
    <t>Bộ xà đơn 2600 trụ Pi tim 2400: X-26ĐP</t>
  </si>
  <si>
    <t>X-26KP</t>
  </si>
  <si>
    <t>Bộ xà kép 2600 trụ Pi tim 2400: X-26KP</t>
  </si>
  <si>
    <t>X-28KP</t>
  </si>
  <si>
    <t>Bộ xà kép 2800 trụ Pi tim 1400: X-28KP</t>
  </si>
  <si>
    <t>X-30KP</t>
  </si>
  <si>
    <t>Bộ xà kép 3000 trụ Pi tim 1400: X-30KP</t>
  </si>
  <si>
    <t>X-38Đ</t>
  </si>
  <si>
    <t>Bộ xà đỡ đơn L75x75x8 dài 3,8m: X-38Đ</t>
  </si>
  <si>
    <t>X-42KP</t>
  </si>
  <si>
    <t>Bộ xà kép 4200 trụ Pi tim 1700: X-42KP</t>
  </si>
  <si>
    <t>X-24KP500</t>
  </si>
  <si>
    <t>Bộ xà kép 2400 trụ Pi tim 500: X-24KP500</t>
  </si>
  <si>
    <t>G-20KP</t>
  </si>
  <si>
    <t>Bộ thanh giằng trụ Pi tim 1400: G-20KP</t>
  </si>
  <si>
    <t>G-23KP</t>
  </si>
  <si>
    <t>Bộ thanh giằng trụ Pi tim 1700: G-23KP</t>
  </si>
  <si>
    <t>G-720</t>
  </si>
  <si>
    <t>Bộ thanh giằng trụ Pi tim 500: G-720</t>
  </si>
  <si>
    <t>CODE th-Þ240</t>
  </si>
  <si>
    <t>Bộ CODE lắp néo trung hòa: CODE th-Þ240</t>
  </si>
  <si>
    <t>CX-ht</t>
  </si>
  <si>
    <t>Bộ chằng xuống đơn cho trụ hạ thế: CX.ht</t>
  </si>
  <si>
    <t>T CL-ht</t>
  </si>
  <si>
    <t>Tháo bộ chằng lệch đơn cho trụ hạ thế: CL.ht</t>
  </si>
  <si>
    <t>CL-ht</t>
  </si>
  <si>
    <t>Bộ chằng lệch đơn cho trụ hạ thế: CL.ht</t>
  </si>
  <si>
    <t>CX10-B</t>
  </si>
  <si>
    <t>Bộ chằng xuống đơn cho trụ 10,5m: CX10-B</t>
  </si>
  <si>
    <t>CL10-B</t>
  </si>
  <si>
    <t>Bộ chằng lệch đơn cho trụ 10,5m: CL10-B</t>
  </si>
  <si>
    <t>CXX10-B</t>
  </si>
  <si>
    <t>Bộ chằng xuống kép cho trụ 10,5m: CXX10-B</t>
  </si>
  <si>
    <t>T CX12-B</t>
  </si>
  <si>
    <t>Tháo bộ chằng xuống đơn cho trụ 12m: CX12-B</t>
  </si>
  <si>
    <t>CX12-B</t>
  </si>
  <si>
    <t>Bộ chằng xuống đơn cho trụ 12m: CX12-B</t>
  </si>
  <si>
    <t>T CL12-B</t>
  </si>
  <si>
    <t>Tháo bộ chằng lệch đơn cho trụ 12m: CL12-B</t>
  </si>
  <si>
    <t>CL12-B</t>
  </si>
  <si>
    <t>Bộ chằng lệch đơn cho trụ 12m: CL12-B</t>
  </si>
  <si>
    <t>CXX12-B</t>
  </si>
  <si>
    <t>Bộ chằng xuống kép cho trụ 12m: CXX12-B</t>
  </si>
  <si>
    <t>CX14-B</t>
  </si>
  <si>
    <t>Bộ chằng xuống đơn cho trụ 14m: CX14-B</t>
  </si>
  <si>
    <t>CL14-B</t>
  </si>
  <si>
    <t>Bộ chằng lệch đơn cho trụ 14m: CL14-B</t>
  </si>
  <si>
    <t>CXX14-B</t>
  </si>
  <si>
    <t>Bộ chằng xuống kép cho trụ 14m: CXX14-B</t>
  </si>
  <si>
    <t>CK-B</t>
  </si>
  <si>
    <t>Bộ chằng vượt đơn: CK-B</t>
  </si>
  <si>
    <t>CKK-B</t>
  </si>
  <si>
    <t>Bộ chằng vượt kép: CKK-B</t>
  </si>
  <si>
    <t>CX10-C</t>
  </si>
  <si>
    <t>Bộ chằng xuống đơn cho trụ 10,5m: CX10-C</t>
  </si>
  <si>
    <t>CL10-C</t>
  </si>
  <si>
    <t>Bộ chằng lệch đơn cho trụ 10,5m: CL10-C</t>
  </si>
  <si>
    <t>CXX10-C</t>
  </si>
  <si>
    <t>Bộ chằng xuống kép cho trụ 10,5m: CXX10-C</t>
  </si>
  <si>
    <t>CX12-C</t>
  </si>
  <si>
    <t>Bộ chằng xuống đơn cho trụ 12m: CX12-C</t>
  </si>
  <si>
    <t>CL12-C</t>
  </si>
  <si>
    <t>Bộ chằng lệch đơn cho trụ 12m: CL12-C</t>
  </si>
  <si>
    <t>CXX12-C</t>
  </si>
  <si>
    <t>Bộ chằng xuống kép cho trụ 12m: CXX12-C</t>
  </si>
  <si>
    <t>CX14-C</t>
  </si>
  <si>
    <t>Bộ chằng xuống đơn cho trụ 14m: CX14-C</t>
  </si>
  <si>
    <t>CL14-C</t>
  </si>
  <si>
    <t>Bộ chằng lệch đơn cho trụ 14m: CL14-C</t>
  </si>
  <si>
    <t>CXX14-C</t>
  </si>
  <si>
    <t>Bộ chằng xuống kép cho trụ 14m: CXX14-C</t>
  </si>
  <si>
    <t>CX20-C</t>
  </si>
  <si>
    <t>Bộ chằng xuống đơn cho trụ 20m: CX20-C</t>
  </si>
  <si>
    <t>CK-C</t>
  </si>
  <si>
    <t>Bộ chằng vượt đơn: CK-C</t>
  </si>
  <si>
    <t>CKK-C</t>
  </si>
  <si>
    <t>Bộ chằng vượt kép: CKK-C</t>
  </si>
  <si>
    <t>NXX</t>
  </si>
  <si>
    <t>Bộ móng neo xòe cho chằng xuống: NXX</t>
  </si>
  <si>
    <t>NXL</t>
  </si>
  <si>
    <t>Bộ móng neo xòe cho chằng lệch: NXL</t>
  </si>
  <si>
    <t xml:space="preserve">MNX12-2 </t>
  </si>
  <si>
    <t>Bộ móng neo 1200x200 cho chằng xuống: MNX12-2</t>
  </si>
  <si>
    <t>MNL12-2</t>
  </si>
  <si>
    <t>Bộ móng neo 1200x200 cho chằng lệch: MNL12-2</t>
  </si>
  <si>
    <t xml:space="preserve">MNX12-4 </t>
  </si>
  <si>
    <t>Bộ móng neo 1200x400 cho chằng xuống: MNX12-4</t>
  </si>
  <si>
    <t xml:space="preserve">MNL12-4 </t>
  </si>
  <si>
    <t>Bộ móng neo 1200x400 cho chằng lệch: MNL12-4</t>
  </si>
  <si>
    <t xml:space="preserve">MNX15-4 </t>
  </si>
  <si>
    <t>Bộ móng neo 1500x400 cho chằng xuống: MNX15-4</t>
  </si>
  <si>
    <t>MNL15-4</t>
  </si>
  <si>
    <t>Bộ móng neo 1500x400 cho chằng lệch: MNL15-4</t>
  </si>
  <si>
    <t xml:space="preserve">MNX15-6 </t>
  </si>
  <si>
    <t>Bộ móng neo 1500x600 cho chằng xuống: MNX15-6</t>
  </si>
  <si>
    <t xml:space="preserve">MNL15-6 </t>
  </si>
  <si>
    <t>Bộ móng neo 1500x600 cho chằng lệch: MNL15-6</t>
  </si>
  <si>
    <t>DDTT3P-ct</t>
  </si>
  <si>
    <t>Phần trung thế cải tạo</t>
  </si>
  <si>
    <t>Tbộ</t>
  </si>
  <si>
    <t>DDTT3P2m-m</t>
  </si>
  <si>
    <t>Phân trung thế 3 pha XD mới 2 mạch</t>
  </si>
  <si>
    <t>DDTT3P1m-m</t>
  </si>
  <si>
    <t>Phần trung thế 3 pha xây dựng mới</t>
  </si>
  <si>
    <t>DDTT1P-m</t>
  </si>
  <si>
    <t>Phân trung thế 1 pha XD mới</t>
  </si>
  <si>
    <t>DDHTDL</t>
  </si>
  <si>
    <t>Phần hạ thế độc lập xây dựng mới</t>
  </si>
  <si>
    <t>DDHTHH</t>
  </si>
  <si>
    <t>Phần hạ thế cải tạo</t>
  </si>
  <si>
    <t>HTCS</t>
  </si>
  <si>
    <t>Phần hạ thế chiếu sáng</t>
  </si>
  <si>
    <t>Hotline</t>
  </si>
  <si>
    <t>Phần đấu nối HOTLINE</t>
  </si>
  <si>
    <t>TBDD3pct</t>
  </si>
  <si>
    <t>Phần thiết bị đường dây 3 pha cải tạo</t>
  </si>
  <si>
    <t>TBDD3p2m</t>
  </si>
  <si>
    <t>Phần thiết bị đường dây 3 pha XDM 2 mạch</t>
  </si>
  <si>
    <t>TBDD3p1m</t>
  </si>
  <si>
    <t>Phần thiết bị đường dây 3 pha 1 mạch</t>
  </si>
  <si>
    <t>TĐĐ</t>
  </si>
  <si>
    <t>Phần vật liệu trụ đo đếm</t>
  </si>
  <si>
    <t>TBDD1p</t>
  </si>
  <si>
    <t>Phần thiết bị đường dây trung thế 1 pha XDM</t>
  </si>
  <si>
    <t>TBHT</t>
  </si>
  <si>
    <t xml:space="preserve">Phần thiết bị đường dây hạ thế </t>
  </si>
  <si>
    <t>BBVS</t>
  </si>
  <si>
    <t>Phần biển báo vượt sông</t>
  </si>
  <si>
    <t>CBH9</t>
  </si>
  <si>
    <t>Cột báo hiệu cao 9m</t>
  </si>
  <si>
    <t>Cột</t>
  </si>
  <si>
    <t>BBH1212</t>
  </si>
  <si>
    <t>Biển báo hiệu 1.2mx1.2m</t>
  </si>
  <si>
    <t>Biển</t>
  </si>
  <si>
    <t>MCBH1212</t>
  </si>
  <si>
    <t>Móng cột báo hiệu 1.2mx1.2m</t>
  </si>
  <si>
    <t>Đth-U</t>
  </si>
  <si>
    <t>Bộ Uclevis đỡ dây trung hòa: Đth-U</t>
  </si>
  <si>
    <t>Nth-U</t>
  </si>
  <si>
    <t>Bộ Uclevis néo dây trung hòa vào trụ: Nth-U</t>
  </si>
  <si>
    <t>Nth-T</t>
  </si>
  <si>
    <t>Bộ khóa néo dây trung hòa vào trụ: Nth-T</t>
  </si>
  <si>
    <t>Nth-X</t>
  </si>
  <si>
    <t>Bộ khóa néo dây trung hòa vào xà: Nth-X</t>
  </si>
  <si>
    <t>SĐU</t>
  </si>
  <si>
    <t>Bộ cách điện đứng+ty sứ : SĐU</t>
  </si>
  <si>
    <t>SĐI</t>
  </si>
  <si>
    <t>Bộ cách điện đỉnh+ty sứ đơn : SĐI</t>
  </si>
  <si>
    <t>SĐG</t>
  </si>
  <si>
    <t>Bộ cách điện đỉnh góc + ty sứ đơn : SĐG</t>
  </si>
  <si>
    <t>CĐT 2BAT-T</t>
  </si>
  <si>
    <t>Chuỗi sứ treo 2bát 25kV lắp vào trụ : CĐT 2BAT-T</t>
  </si>
  <si>
    <t>CĐT 2BAT-X</t>
  </si>
  <si>
    <t>Chuỗi sứ treo 2bát 24kV lắp vào xà : CĐT 2BAT-X</t>
  </si>
  <si>
    <t>CĐT ply-X</t>
  </si>
  <si>
    <t>Chuỗi sứ treo Polymer 25kV lắp vào xà : CĐT ply-X</t>
  </si>
  <si>
    <t>CĐT pty-X</t>
  </si>
  <si>
    <t>Chuỗi sứ treo Polymer 25kV lắp vào xà : CĐT 2BAT-X</t>
  </si>
  <si>
    <t>Đth-U-g</t>
  </si>
  <si>
    <t>Bộ Uclevis đỡ dây trung hòa trụ ghép: Đth-U-g (trụ ghép)</t>
  </si>
  <si>
    <t>Đth-X</t>
  </si>
  <si>
    <t>Bộ Uclevis đỡ dây trung hòa vào xà: Đth-X</t>
  </si>
  <si>
    <t>Nth-T-g</t>
  </si>
  <si>
    <t>Bộ khóa néo dây trung hòa vào trụ: Nth-T-g</t>
  </si>
  <si>
    <t>CĐTply-X</t>
  </si>
  <si>
    <t>CĐTply-T</t>
  </si>
  <si>
    <t>Chuỗi sứ treo Polymer 25kV lắp vào trụ: CĐT ply-T</t>
  </si>
  <si>
    <t>M12T</t>
  </si>
  <si>
    <t>Trụ bê tông ly tâm 12m</t>
  </si>
  <si>
    <t>M12aT</t>
  </si>
  <si>
    <t>Trụ bê tông ly tâm 12m có đà cản</t>
  </si>
  <si>
    <t>M12BT ĐÔIT</t>
  </si>
  <si>
    <t xml:space="preserve">Trụ bê tông trụ đôi 12m </t>
  </si>
  <si>
    <t>M14aT</t>
  </si>
  <si>
    <t>Trụ bê tông ly tâm 14m có đà cản</t>
  </si>
  <si>
    <t>MDD3DC</t>
  </si>
  <si>
    <t>Đo đất móng cột, trụ, hố kiểm tra rộng &gt;3m, su ≤2m, đất cấp 3 bằng thủ công (p dụng cho móng đ cản)</t>
  </si>
  <si>
    <t>GO-CH</t>
  </si>
  <si>
    <t>Gỗ chống</t>
  </si>
  <si>
    <t>GO-DN</t>
  </si>
  <si>
    <t>Gỗ đà nẹp</t>
  </si>
  <si>
    <t>GO-V</t>
  </si>
  <si>
    <t>Gỗ ván (cả nẹp)</t>
  </si>
  <si>
    <t>MDD3R1</t>
  </si>
  <si>
    <t>Đo đất mĩng cột, trụ, hố kiểm tra rộng &gt;1m, su &gt;1m, đất cấp 3 bằng thủ cơng</t>
  </si>
  <si>
    <t>B16750V</t>
  </si>
  <si>
    <t>Boulon 16x750VRS+ 4 long đền vuông D18-50x50x3/Zn</t>
  </si>
  <si>
    <t>LVANK</t>
  </si>
  <si>
    <t>Ván khuôn gỗ móng - móng vuông, chữ nhật</t>
  </si>
  <si>
    <t>100m2</t>
  </si>
  <si>
    <t>T12540</t>
  </si>
  <si>
    <t>Trụ BTLT 12m F540 dự ứng lực (k=2)</t>
  </si>
  <si>
    <t>d22</t>
  </si>
  <si>
    <t>Đà Sắt góc L75 x75 x8 dài 2,2m (4 ốp)</t>
  </si>
  <si>
    <t>thanh</t>
  </si>
  <si>
    <t>t81</t>
  </si>
  <si>
    <t>Thanh chống đà sắt góc L50x50x5 dài 0,81m</t>
  </si>
  <si>
    <t>d200</t>
  </si>
  <si>
    <t>Đà Sắt góc L75 x75 x8 dài 2m (3 ốp)</t>
  </si>
  <si>
    <t>t115</t>
  </si>
  <si>
    <t>Thanh chống đà sắt góc L50x50x5 dài 1,15m</t>
  </si>
  <si>
    <t>XT2</t>
  </si>
  <si>
    <t>Xà đỡ thẳng lệch 3 pha 2m - 1 mạch</t>
  </si>
  <si>
    <t>XTK2</t>
  </si>
  <si>
    <t>Xà đỡ lệch góc 3 pha 2m - 1 mạch</t>
  </si>
  <si>
    <t>MANG4</t>
  </si>
  <si>
    <t>Máng che dây chằng dày 0,4x2000</t>
  </si>
  <si>
    <t>ACX50</t>
  </si>
  <si>
    <t>Cáp nhôm lõi thép bọc 24KV AC/XLPE50 mm2</t>
  </si>
  <si>
    <t>GNIU 185</t>
  </si>
  <si>
    <t>Giáp níu dừng dây bọc 185 + yếm móng U + Mắt nối yếm</t>
  </si>
  <si>
    <t>GNIU50</t>
  </si>
  <si>
    <t>Giáp níu dừng dây bọc 50mm2 + yếm móng U + Mắt nối yếm</t>
  </si>
  <si>
    <t>ke279</t>
  </si>
  <si>
    <t>Kẹp ép WR 279</t>
  </si>
  <si>
    <t>ke419</t>
  </si>
  <si>
    <t>Kẹp ép WR 419</t>
  </si>
  <si>
    <t>ke929</t>
  </si>
  <si>
    <t>Kẹp ép WR 929</t>
  </si>
  <si>
    <t>OCN</t>
  </si>
  <si>
    <t>Ong co nhiệt cách điện 24kV D60</t>
  </si>
  <si>
    <t>chupU</t>
  </si>
  <si>
    <t>Chụp kẹp Uquai</t>
  </si>
  <si>
    <t>KDIN</t>
  </si>
  <si>
    <t>Dây đai + khóa đai Inoc</t>
  </si>
  <si>
    <t>Dbsttf</t>
  </si>
  <si>
    <t>Dây buộc đầu sứ TTF (185-240mm2)</t>
  </si>
  <si>
    <t>Dbsssf</t>
  </si>
  <si>
    <t>Dây buộc cổ sứ SSF (185-240mm2)</t>
  </si>
  <si>
    <t>LSDD</t>
  </si>
  <si>
    <t>Lắp sứ đứng 24KV + ty</t>
  </si>
  <si>
    <t>BTLT 12 F540</t>
  </si>
  <si>
    <t>BTLT 14 F650</t>
  </si>
  <si>
    <t>Trụ bê tông ly tâm 14m trồng thủ công+cơ giới</t>
  </si>
  <si>
    <t>Đào lỗ</t>
  </si>
  <si>
    <t>Nghiệm thu Đào lỗ</t>
  </si>
  <si>
    <t>Dựng trụ</t>
  </si>
  <si>
    <t>Lắp neo</t>
  </si>
  <si>
    <t>Đổ bê tông</t>
  </si>
  <si>
    <t>Lắp đà cản</t>
  </si>
  <si>
    <t>Gắn xà sứ, phụ kiện</t>
  </si>
  <si>
    <t>Kéo dây</t>
  </si>
  <si>
    <t>Tiếp địa</t>
  </si>
  <si>
    <t>Lắp trạm</t>
  </si>
  <si>
    <t>Đầu Cosse 150 (2 bulon)</t>
  </si>
  <si>
    <t>Hình thức trụ HH</t>
  </si>
  <si>
    <t>Hình thức trụ TK</t>
  </si>
  <si>
    <t>BTLT 12HH</t>
  </si>
  <si>
    <t>TDLL12hh</t>
  </si>
  <si>
    <t>X-22KK</t>
  </si>
  <si>
    <t xml:space="preserve">Chuỗi Polymer lắp vào trụ CĐT </t>
  </si>
  <si>
    <t xml:space="preserve">Bass LI </t>
  </si>
  <si>
    <t>BMoc16300</t>
  </si>
  <si>
    <t>Bu long 16x300 bắt rack</t>
  </si>
  <si>
    <t>Bảng độ cao băng đường</t>
  </si>
  <si>
    <t>Số dây Dupplex trên trụ</t>
  </si>
  <si>
    <t>Ghip 95(70)/35 2 bulon</t>
  </si>
  <si>
    <t>Ong co nhiệt F95/25 (m)</t>
  </si>
  <si>
    <t>GHI CHÚ</t>
  </si>
  <si>
    <t>Colume</t>
  </si>
  <si>
    <t>Sum</t>
  </si>
  <si>
    <t>Số trụ</t>
  </si>
  <si>
    <t xml:space="preserve">Kh.cách </t>
  </si>
  <si>
    <t xml:space="preserve">Cáp 24kV ACX 50mm2 </t>
  </si>
  <si>
    <t>ống nối dây AC 50</t>
  </si>
  <si>
    <t>Cáp CXV150mm2 - 24KV</t>
  </si>
  <si>
    <t>Cáp CXV 25 mm2 - 24KV</t>
  </si>
  <si>
    <t>Phần trụ</t>
  </si>
  <si>
    <t>Móng néo</t>
  </si>
  <si>
    <t>Tiếp địa lặp lại XDM (trụ 12m)</t>
  </si>
  <si>
    <t>Tiếp địa lặp lại hiện hữu</t>
  </si>
  <si>
    <t>Tiếp địa trụ LBS khí + TBA</t>
  </si>
  <si>
    <t>Loại xà</t>
  </si>
  <si>
    <t>Bộ sứ đứng</t>
  </si>
  <si>
    <t>Chuỗi Polymer lắp vào xà</t>
  </si>
  <si>
    <t>Giáp níu cỡ dây50mm2</t>
  </si>
  <si>
    <t>Giáp níu cỡ dây 185mm2</t>
  </si>
  <si>
    <t>Bộ dừng trung hoà</t>
  </si>
  <si>
    <t>Bộ đỡ dây T.H</t>
  </si>
  <si>
    <t xml:space="preserve">Kẹp quai 4/0 đấu nóng + Chụp </t>
  </si>
  <si>
    <t>Hotline 4/0</t>
  </si>
  <si>
    <t>Kẹp ép cỡ 50mm2</t>
  </si>
  <si>
    <t>Kẹp ép cỡ 95mm2</t>
  </si>
  <si>
    <t>Kẹp ép cỡ 120mm2</t>
  </si>
  <si>
    <t>Kẹp ép cỡ 185mm2</t>
  </si>
  <si>
    <t>Dây cổ sứ dây 185</t>
  </si>
  <si>
    <t>Dây đầu sứ dây 185</t>
  </si>
  <si>
    <t xml:space="preserve">Bu long móc 16x300 </t>
  </si>
  <si>
    <t>CÔNG TRÌNH: NÂNG CẤP ĐƯỜNG DÂY TRUNG THẾ TỪ RECLOSER XUÂN BẮC ĐẾN LBS KHÍ CHẾ BIẾN TUYẾN 480 XUÂN BẮC</t>
  </si>
  <si>
    <t>2DT</t>
  </si>
  <si>
    <t>RECLOSER</t>
  </si>
  <si>
    <t>89a</t>
  </si>
  <si>
    <t>IG</t>
  </si>
  <si>
    <t>90a</t>
  </si>
  <si>
    <t>I</t>
  </si>
  <si>
    <t>91a</t>
  </si>
  <si>
    <t>92a</t>
  </si>
  <si>
    <t>93a</t>
  </si>
  <si>
    <t>94a</t>
  </si>
  <si>
    <t>95a</t>
  </si>
  <si>
    <t>96a</t>
  </si>
  <si>
    <t>97a</t>
  </si>
  <si>
    <t>98a</t>
  </si>
  <si>
    <t>99a</t>
  </si>
  <si>
    <t>100a</t>
  </si>
  <si>
    <t>Tụ bù</t>
  </si>
  <si>
    <t>TBA</t>
  </si>
  <si>
    <t>101a</t>
  </si>
  <si>
    <t>Thay trụ</t>
  </si>
  <si>
    <t>102a</t>
  </si>
  <si>
    <t>103a</t>
  </si>
  <si>
    <t>104a</t>
  </si>
  <si>
    <t>I-DT</t>
  </si>
  <si>
    <t>NR 1P</t>
  </si>
  <si>
    <t>105a</t>
  </si>
  <si>
    <t>106a</t>
  </si>
  <si>
    <t>107a</t>
  </si>
  <si>
    <t>108a</t>
  </si>
  <si>
    <t>109a</t>
  </si>
  <si>
    <t>110a</t>
  </si>
  <si>
    <t>NR 3P</t>
  </si>
  <si>
    <t>111a</t>
  </si>
  <si>
    <t>111b</t>
  </si>
  <si>
    <t>112a</t>
  </si>
  <si>
    <t>113a</t>
  </si>
  <si>
    <t>114a</t>
  </si>
  <si>
    <t>Dời</t>
  </si>
  <si>
    <t>115a</t>
  </si>
  <si>
    <t>116a</t>
  </si>
  <si>
    <t>117a</t>
  </si>
  <si>
    <t>118a</t>
  </si>
  <si>
    <t>119a</t>
  </si>
  <si>
    <t>120a</t>
  </si>
  <si>
    <t>121a</t>
  </si>
  <si>
    <t>122a</t>
  </si>
  <si>
    <t>123a</t>
  </si>
  <si>
    <t>124a</t>
  </si>
  <si>
    <t>125a</t>
  </si>
  <si>
    <t>126a</t>
  </si>
  <si>
    <t>IDT</t>
  </si>
  <si>
    <t>NR 1P+TBA</t>
  </si>
  <si>
    <t>127a</t>
  </si>
  <si>
    <t>128a</t>
  </si>
  <si>
    <t>F</t>
  </si>
  <si>
    <t>129a</t>
  </si>
  <si>
    <t>130a</t>
  </si>
  <si>
    <t>131a</t>
  </si>
  <si>
    <t>132A</t>
  </si>
  <si>
    <t>132B</t>
  </si>
  <si>
    <t>133a</t>
  </si>
  <si>
    <t>134a</t>
  </si>
  <si>
    <t>135a</t>
  </si>
  <si>
    <t>136a</t>
  </si>
  <si>
    <t>137a</t>
  </si>
  <si>
    <t>138a</t>
  </si>
  <si>
    <t>139B</t>
  </si>
  <si>
    <t>139A</t>
  </si>
  <si>
    <t>NR3P</t>
  </si>
  <si>
    <t>140a</t>
  </si>
  <si>
    <t>141a</t>
  </si>
  <si>
    <t>142a</t>
  </si>
  <si>
    <t>143a</t>
  </si>
  <si>
    <t>144a</t>
  </si>
  <si>
    <t>145B</t>
  </si>
  <si>
    <t>145A</t>
  </si>
  <si>
    <t>146a</t>
  </si>
  <si>
    <t>147a</t>
  </si>
  <si>
    <t>148a</t>
  </si>
  <si>
    <t>149a</t>
  </si>
  <si>
    <t>3DT</t>
  </si>
  <si>
    <t>150a</t>
  </si>
  <si>
    <t>151a</t>
  </si>
  <si>
    <t>152a</t>
  </si>
  <si>
    <t>153a</t>
  </si>
  <si>
    <t>154a</t>
  </si>
  <si>
    <t>155a</t>
  </si>
  <si>
    <t>156a</t>
  </si>
  <si>
    <t>157a</t>
  </si>
  <si>
    <t>158a</t>
  </si>
  <si>
    <t>159a</t>
  </si>
  <si>
    <t>160a</t>
  </si>
  <si>
    <t>161A</t>
  </si>
  <si>
    <t>162a</t>
  </si>
  <si>
    <t>163a</t>
  </si>
  <si>
    <t>164a</t>
  </si>
  <si>
    <t>165a</t>
  </si>
  <si>
    <t>166A</t>
  </si>
  <si>
    <t>167a</t>
  </si>
  <si>
    <t>168a</t>
  </si>
  <si>
    <t>169a</t>
  </si>
  <si>
    <t>Tbu</t>
  </si>
  <si>
    <t>170a</t>
  </si>
  <si>
    <t>171a</t>
  </si>
  <si>
    <t>172a</t>
  </si>
  <si>
    <t>173a</t>
  </si>
  <si>
    <t>174A</t>
  </si>
  <si>
    <t>Dự toán</t>
  </si>
  <si>
    <t>CỘNG</t>
  </si>
  <si>
    <t>Vị trí móng</t>
  </si>
  <si>
    <t>Thiết kế</t>
  </si>
  <si>
    <t>Thi công</t>
  </si>
  <si>
    <t>Bản vẽ thiết kế số</t>
  </si>
  <si>
    <t>Ghi chú</t>
  </si>
  <si>
    <t>Lần</t>
  </si>
  <si>
    <t>Ngày thi công</t>
  </si>
  <si>
    <t>Ngày nghiệm thu</t>
  </si>
  <si>
    <t>19, 20, 22, 26</t>
  </si>
  <si>
    <t>140A, 141A, 143A, 144A, 145B, 146A, 150A, 151A, 152A, 154A, 159A, 162A, 163A, 168A</t>
  </si>
  <si>
    <t>Móng M12a tại các vị trí: 137A, 138A, 139B, 147A, 148A, 149A, 153A, 155A, 156A, 158A, 160A, 165A, 167A, 169A, 170A, 172A, 173A</t>
  </si>
  <si>
    <t>Tổng cộng:</t>
  </si>
  <si>
    <t>Vị trí thi công</t>
  </si>
  <si>
    <t>Vị trí đổ bê tông</t>
  </si>
  <si>
    <t>Số lượng</t>
  </si>
  <si>
    <t/>
  </si>
  <si>
    <t>Khoảng néo</t>
  </si>
  <si>
    <t>Loại dây</t>
  </si>
  <si>
    <t>Chiều dài (m)</t>
  </si>
  <si>
    <t>Hợp đồng</t>
  </si>
  <si>
    <t>Từ trụ 089A đến trụ 126</t>
  </si>
  <si>
    <t>3ACX185+AC120</t>
  </si>
  <si>
    <t>089A</t>
  </si>
  <si>
    <t>Từ trụ 142A đến trụ 174</t>
  </si>
  <si>
    <t>142A</t>
  </si>
</sst>
</file>

<file path=xl/styles.xml><?xml version="1.0" encoding="utf-8"?>
<styleSheet xmlns="http://schemas.openxmlformats.org/spreadsheetml/2006/main">
  <numFmts count="8">
    <numFmt numFmtId="176" formatCode="_ * #,##0_ ;_ * \-#,##0_ ;_ * &quot;-&quot;_ ;_ @_ "/>
    <numFmt numFmtId="177" formatCode="_ * #,##0.00_ ;_ * \-#,##0.00_ ;_ * &quot;-&quot;??_ ;_ @_ "/>
    <numFmt numFmtId="44" formatCode="_(&quot;$&quot;* #,##0.00_);_(&quot;$&quot;* \(#,##0.00\);_(&quot;$&quot;* &quot;-&quot;??_);_(@_)"/>
    <numFmt numFmtId="42" formatCode="_(&quot;$&quot;* #,##0_);_(&quot;$&quot;* \(#,##0\);_(&quot;$&quot;* &quot;-&quot;_);_(@_)"/>
    <numFmt numFmtId="178" formatCode="dd/mm/yyyy"/>
    <numFmt numFmtId="179" formatCode="m/d/yyyy;@"/>
    <numFmt numFmtId="180" formatCode="00"/>
    <numFmt numFmtId="43" formatCode="_(* #,##0.00_);_(* \(#,##0.00\);_(* &quot;-&quot;??_);_(@_)"/>
  </numFmts>
  <fonts count="41">
    <font>
      <sz val="11"/>
      <color theme="1"/>
      <name val="Calibri"/>
      <charset val="134"/>
      <scheme val="minor"/>
    </font>
    <font>
      <sz val="13"/>
      <name val="Times New Roman"/>
      <charset val="134"/>
    </font>
    <font>
      <b/>
      <sz val="13"/>
      <name val="Times New Roman"/>
      <charset val="134"/>
    </font>
    <font>
      <b/>
      <sz val="13"/>
      <color rgb="FF000000"/>
      <name val="Times New Roman"/>
      <charset val="134"/>
    </font>
    <font>
      <b/>
      <sz val="11"/>
      <name val="Times New Roman"/>
      <charset val="134"/>
    </font>
    <font>
      <sz val="13"/>
      <color rgb="FF000000"/>
      <name val="Times New Roman"/>
      <charset val="134"/>
    </font>
    <font>
      <sz val="12"/>
      <name val="Times New Roman"/>
      <charset val="134"/>
    </font>
    <font>
      <sz val="13"/>
      <color rgb="FFFF0000"/>
      <name val="Times New Roman"/>
      <charset val="134"/>
    </font>
    <font>
      <b/>
      <sz val="11"/>
      <color rgb="FF000000"/>
      <name val="Times New Roman"/>
      <charset val="134"/>
    </font>
    <font>
      <b/>
      <sz val="13"/>
      <color rgb="FFFF0000"/>
      <name val="Times New Roman"/>
      <charset val="134"/>
    </font>
    <font>
      <i/>
      <sz val="13"/>
      <name val="Times New Roman"/>
      <charset val="134"/>
    </font>
    <font>
      <sz val="13"/>
      <color rgb="FF000099"/>
      <name val="Times New Roman"/>
      <charset val="134"/>
    </font>
    <font>
      <b/>
      <sz val="9"/>
      <name val="Times New Roman"/>
      <charset val="134"/>
    </font>
    <font>
      <sz val="10"/>
      <name val="Times New Roman"/>
      <charset val="134"/>
    </font>
    <font>
      <b/>
      <sz val="10"/>
      <name val="Times New Roman"/>
      <charset val="134"/>
    </font>
    <font>
      <sz val="10"/>
      <color indexed="18"/>
      <name val="Times New Roman"/>
      <charset val="134"/>
    </font>
    <font>
      <sz val="10"/>
      <name val="VNI-Helve-Condense"/>
      <charset val="134"/>
    </font>
    <font>
      <b/>
      <sz val="11"/>
      <color theme="1"/>
      <name val="Calibri"/>
      <charset val="134"/>
      <scheme val="minor"/>
    </font>
    <font>
      <sz val="11"/>
      <color theme="1"/>
      <name val="Times New Roman"/>
      <charset val="134"/>
    </font>
    <font>
      <b/>
      <sz val="11"/>
      <color theme="1"/>
      <name val="Times New Roman"/>
      <charset val="134"/>
    </font>
    <font>
      <sz val="11"/>
      <color theme="1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theme="1"/>
      <name val="Calibri"/>
      <charset val="134"/>
      <scheme val="minor"/>
    </font>
    <font>
      <b/>
      <sz val="11"/>
      <color rgb="FFFFFFFF"/>
      <name val="Calibri"/>
      <charset val="0"/>
      <scheme val="minor"/>
    </font>
    <font>
      <sz val="11"/>
      <color rgb="FF9C6500"/>
      <name val="Calibri"/>
      <charset val="0"/>
      <scheme val="minor"/>
    </font>
    <font>
      <b/>
      <sz val="11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sz val="11"/>
      <color theme="0"/>
      <name val="Calibri"/>
      <charset val="0"/>
      <scheme val="minor"/>
    </font>
    <font>
      <sz val="11"/>
      <color rgb="FFFA7D00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u/>
      <sz val="11"/>
      <color rgb="FF0000FF"/>
      <name val="Calibri"/>
      <charset val="0"/>
      <scheme val="minor"/>
    </font>
    <font>
      <sz val="10"/>
      <name val="Arial"/>
      <charset val="163"/>
    </font>
    <font>
      <sz val="11"/>
      <color rgb="FF3F3F76"/>
      <name val="Calibri"/>
      <charset val="0"/>
      <scheme val="minor"/>
    </font>
    <font>
      <sz val="11"/>
      <color rgb="FF9C0006"/>
      <name val="Calibri"/>
      <charset val="0"/>
      <scheme val="minor"/>
    </font>
    <font>
      <b/>
      <sz val="15"/>
      <color theme="3"/>
      <name val="Calibri"/>
      <charset val="134"/>
      <scheme val="minor"/>
    </font>
    <font>
      <sz val="11"/>
      <color rgb="FFFF0000"/>
      <name val="Calibri"/>
      <charset val="0"/>
      <scheme val="minor"/>
    </font>
    <font>
      <b/>
      <sz val="11"/>
      <color theme="1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i/>
      <sz val="11"/>
      <color rgb="FF7F7F7F"/>
      <name val="Calibri"/>
      <charset val="0"/>
      <scheme val="minor"/>
    </font>
    <font>
      <b/>
      <sz val="18"/>
      <color theme="3"/>
      <name val="Calibri"/>
      <charset val="13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399975585192419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51">
    <xf numFmtId="0" fontId="0" fillId="0" borderId="0"/>
    <xf numFmtId="0" fontId="20" fillId="12" borderId="0" applyNumberFormat="0" applyBorder="0" applyAlignment="0" applyProtection="0">
      <alignment vertical="center"/>
    </xf>
    <xf numFmtId="177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42" fontId="23" fillId="0" borderId="0" applyFont="0" applyFill="0" applyBorder="0" applyAlignment="0" applyProtection="0">
      <alignment vertical="center"/>
    </xf>
    <xf numFmtId="0" fontId="32" fillId="0" borderId="0"/>
    <xf numFmtId="44" fontId="23" fillId="0" borderId="0" applyFont="0" applyFill="0" applyBorder="0" applyAlignment="0" applyProtection="0">
      <alignment vertical="center"/>
    </xf>
    <xf numFmtId="9" fontId="23" fillId="0" borderId="0" applyFont="0" applyFill="0" applyBorder="0" applyAlignment="0" applyProtection="0">
      <alignment vertical="center"/>
    </xf>
    <xf numFmtId="0" fontId="24" fillId="6" borderId="13" applyNumberFormat="0" applyAlignment="0" applyProtection="0">
      <alignment vertical="center"/>
    </xf>
    <xf numFmtId="0" fontId="27" fillId="0" borderId="15" applyNumberFormat="0" applyFill="0" applyAlignment="0" applyProtection="0">
      <alignment vertical="center"/>
    </xf>
    <xf numFmtId="0" fontId="23" fillId="16" borderId="17" applyNumberFormat="0" applyFont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28" fillId="18" borderId="0" applyNumberFormat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20" fillId="10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20" fillId="21" borderId="0" applyNumberFormat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5" fillId="0" borderId="15" applyNumberFormat="0" applyFill="0" applyAlignment="0" applyProtection="0">
      <alignment vertical="center"/>
    </xf>
    <xf numFmtId="0" fontId="26" fillId="0" borderId="14" applyNumberFormat="0" applyFill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33" fillId="15" borderId="12" applyNumberFormat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  <xf numFmtId="0" fontId="38" fillId="4" borderId="19" applyNumberFormat="0" applyAlignment="0" applyProtection="0">
      <alignment vertical="center"/>
    </xf>
    <xf numFmtId="0" fontId="20" fillId="14" borderId="0" applyNumberFormat="0" applyBorder="0" applyAlignment="0" applyProtection="0">
      <alignment vertical="center"/>
    </xf>
    <xf numFmtId="0" fontId="21" fillId="4" borderId="12" applyNumberFormat="0" applyAlignment="0" applyProtection="0">
      <alignment vertical="center"/>
    </xf>
    <xf numFmtId="0" fontId="29" fillId="0" borderId="16" applyNumberFormat="0" applyFill="0" applyAlignment="0" applyProtection="0">
      <alignment vertical="center"/>
    </xf>
    <xf numFmtId="0" fontId="37" fillId="0" borderId="18" applyNumberFormat="0" applyFill="0" applyAlignment="0" applyProtection="0">
      <alignment vertical="center"/>
    </xf>
    <xf numFmtId="0" fontId="34" fillId="20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8" fillId="23" borderId="0" applyNumberFormat="0" applyBorder="0" applyAlignment="0" applyProtection="0">
      <alignment vertical="center"/>
    </xf>
    <xf numFmtId="0" fontId="20" fillId="24" borderId="0" applyNumberFormat="0" applyBorder="0" applyAlignment="0" applyProtection="0">
      <alignment vertical="center"/>
    </xf>
    <xf numFmtId="0" fontId="28" fillId="1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0" fillId="7" borderId="0" applyNumberFormat="0" applyBorder="0" applyAlignment="0" applyProtection="0">
      <alignment vertical="center"/>
    </xf>
    <xf numFmtId="0" fontId="20" fillId="26" borderId="0" applyNumberFormat="0" applyBorder="0" applyAlignment="0" applyProtection="0">
      <alignment vertical="center"/>
    </xf>
    <xf numFmtId="0" fontId="28" fillId="13" borderId="0" applyNumberFormat="0" applyBorder="0" applyAlignment="0" applyProtection="0">
      <alignment vertical="center"/>
    </xf>
    <xf numFmtId="0" fontId="28" fillId="22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8" fillId="28" borderId="0" applyNumberFormat="0" applyBorder="0" applyAlignment="0" applyProtection="0">
      <alignment vertical="center"/>
    </xf>
    <xf numFmtId="0" fontId="20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28" fillId="17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28" fillId="33" borderId="0" applyNumberFormat="0" applyBorder="0" applyAlignment="0" applyProtection="0">
      <alignment vertical="center"/>
    </xf>
    <xf numFmtId="0" fontId="28" fillId="29" borderId="0" applyNumberFormat="0" applyBorder="0" applyAlignment="0" applyProtection="0">
      <alignment vertical="center"/>
    </xf>
    <xf numFmtId="0" fontId="20" fillId="25" borderId="0" applyNumberFormat="0" applyBorder="0" applyAlignment="0" applyProtection="0">
      <alignment vertical="center"/>
    </xf>
    <xf numFmtId="0" fontId="28" fillId="32" borderId="0" applyNumberFormat="0" applyBorder="0" applyAlignment="0" applyProtection="0">
      <alignment vertical="center"/>
    </xf>
    <xf numFmtId="0" fontId="32" fillId="0" borderId="0"/>
  </cellStyleXfs>
  <cellXfs count="115">
    <xf numFmtId="0" fontId="0" fillId="0" borderId="0" xfId="0"/>
    <xf numFmtId="0" fontId="1" fillId="0" borderId="0" xfId="0" applyFont="1" applyFill="1" applyAlignment="1">
      <alignment horizontal="center" vertical="center"/>
    </xf>
    <xf numFmtId="179" fontId="1" fillId="0" borderId="0" xfId="0" applyNumberFormat="1" applyFont="1" applyFill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 wrapText="1"/>
    </xf>
    <xf numFmtId="0" fontId="2" fillId="0" borderId="3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left" vertical="center" wrapText="1"/>
    </xf>
    <xf numFmtId="0" fontId="1" fillId="0" borderId="1" xfId="0" applyFont="1" applyFill="1" applyBorder="1" applyAlignment="1">
      <alignment horizontal="center" vertical="center" wrapText="1"/>
    </xf>
    <xf numFmtId="37" fontId="1" fillId="0" borderId="1" xfId="2" applyNumberFormat="1" applyFont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justify" vertical="center" wrapText="1"/>
    </xf>
    <xf numFmtId="0" fontId="5" fillId="0" borderId="1" xfId="0" applyFont="1" applyFill="1" applyBorder="1" applyAlignment="1">
      <alignment horizontal="left" vertical="center" wrapText="1"/>
    </xf>
    <xf numFmtId="0" fontId="3" fillId="0" borderId="4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vertical="center"/>
    </xf>
    <xf numFmtId="0" fontId="7" fillId="0" borderId="0" xfId="0" applyFont="1" applyFill="1" applyAlignment="1">
      <alignment horizontal="center" vertical="center"/>
    </xf>
    <xf numFmtId="178" fontId="1" fillId="0" borderId="0" xfId="0" applyNumberFormat="1" applyFont="1" applyFill="1" applyAlignment="1">
      <alignment horizontal="center" vertical="center"/>
    </xf>
    <xf numFmtId="179" fontId="7" fillId="0" borderId="0" xfId="0" applyNumberFormat="1" applyFont="1" applyFill="1" applyAlignment="1">
      <alignment horizontal="center" vertical="center"/>
    </xf>
    <xf numFmtId="0" fontId="8" fillId="0" borderId="1" xfId="0" applyFont="1" applyFill="1" applyBorder="1" applyAlignment="1">
      <alignment horizontal="center" vertical="center" wrapText="1"/>
    </xf>
    <xf numFmtId="180" fontId="5" fillId="0" borderId="1" xfId="0" applyNumberFormat="1" applyFont="1" applyFill="1" applyBorder="1" applyAlignment="1">
      <alignment horizontal="center" vertical="center"/>
    </xf>
    <xf numFmtId="180" fontId="5" fillId="0" borderId="1" xfId="0" applyNumberFormat="1" applyFont="1" applyFill="1" applyBorder="1" applyAlignment="1">
      <alignment horizontal="center" vertical="center" wrapText="1"/>
    </xf>
    <xf numFmtId="0" fontId="5" fillId="0" borderId="1" xfId="0" applyFont="1" applyFill="1" applyBorder="1" applyAlignment="1">
      <alignment horizontal="justify" vertical="center"/>
    </xf>
    <xf numFmtId="0" fontId="5" fillId="0" borderId="1" xfId="0" applyFont="1" applyFill="1" applyBorder="1" applyAlignment="1">
      <alignment horizontal="center" vertical="center" wrapText="1"/>
    </xf>
    <xf numFmtId="180" fontId="3" fillId="0" borderId="1" xfId="0" applyNumberFormat="1" applyFont="1" applyFill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178" fontId="3" fillId="0" borderId="0" xfId="0" applyNumberFormat="1" applyFont="1" applyFill="1" applyBorder="1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1" fillId="0" borderId="0" xfId="0" applyFont="1" applyFill="1" applyAlignment="1">
      <alignment horizontal="left" vertical="center"/>
    </xf>
    <xf numFmtId="58" fontId="1" fillId="0" borderId="0" xfId="0" applyNumberFormat="1" applyFont="1" applyFill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179" fontId="1" fillId="0" borderId="0" xfId="0" applyNumberFormat="1" applyFont="1" applyFill="1" applyAlignment="1">
      <alignment horizontal="center" vertical="center" wrapText="1"/>
    </xf>
    <xf numFmtId="0" fontId="2" fillId="0" borderId="0" xfId="0" applyFont="1" applyFill="1" applyAlignment="1">
      <alignment horizontal="left" vertical="center"/>
    </xf>
    <xf numFmtId="0" fontId="10" fillId="0" borderId="0" xfId="0" applyFont="1" applyFill="1" applyAlignment="1">
      <alignment horizontal="left" vertical="center"/>
    </xf>
    <xf numFmtId="0" fontId="2" fillId="0" borderId="0" xfId="0" applyFont="1" applyFill="1" applyAlignment="1">
      <alignment horizontal="center" vertical="top"/>
    </xf>
    <xf numFmtId="179" fontId="3" fillId="0" borderId="5" xfId="0" applyNumberFormat="1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 wrapText="1"/>
    </xf>
    <xf numFmtId="0" fontId="1" fillId="0" borderId="0" xfId="0" applyNumberFormat="1" applyFont="1" applyFill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 wrapText="1"/>
    </xf>
    <xf numFmtId="0" fontId="12" fillId="0" borderId="0" xfId="0" applyFont="1" applyFill="1" applyAlignment="1">
      <alignment horizontal="center" vertical="center" wrapText="1"/>
    </xf>
    <xf numFmtId="58" fontId="1" fillId="0" borderId="0" xfId="0" applyNumberFormat="1" applyFont="1" applyFill="1" applyAlignment="1">
      <alignment horizontal="center" vertical="center" wrapText="1"/>
    </xf>
    <xf numFmtId="58" fontId="7" fillId="0" borderId="0" xfId="0" applyNumberFormat="1" applyFont="1" applyFill="1" applyAlignment="1">
      <alignment horizontal="center" vertical="center"/>
    </xf>
    <xf numFmtId="179" fontId="11" fillId="0" borderId="0" xfId="0" applyNumberFormat="1" applyFont="1" applyFill="1" applyAlignment="1">
      <alignment horizontal="center" vertical="center"/>
    </xf>
    <xf numFmtId="58" fontId="11" fillId="0" borderId="0" xfId="0" applyNumberFormat="1" applyFont="1" applyFill="1" applyAlignment="1">
      <alignment horizontal="center" vertical="center"/>
    </xf>
    <xf numFmtId="179" fontId="2" fillId="0" borderId="0" xfId="0" applyNumberFormat="1" applyFont="1" applyFill="1" applyAlignment="1">
      <alignment horizontal="center" vertical="center" wrapText="1"/>
    </xf>
    <xf numFmtId="58" fontId="2" fillId="0" borderId="0" xfId="0" applyNumberFormat="1" applyFont="1" applyFill="1" applyAlignment="1">
      <alignment horizontal="center" vertical="center" wrapText="1"/>
    </xf>
    <xf numFmtId="179" fontId="12" fillId="0" borderId="0" xfId="0" applyNumberFormat="1" applyFont="1" applyFill="1" applyAlignment="1">
      <alignment horizontal="center" vertical="center" wrapText="1"/>
    </xf>
    <xf numFmtId="58" fontId="12" fillId="0" borderId="0" xfId="0" applyNumberFormat="1" applyFont="1" applyFill="1" applyAlignment="1">
      <alignment horizontal="center" vertical="center" wrapText="1"/>
    </xf>
    <xf numFmtId="0" fontId="2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horizontal="left" vertical="center"/>
    </xf>
    <xf numFmtId="49" fontId="13" fillId="0" borderId="0" xfId="0" applyNumberFormat="1" applyFont="1" applyFill="1" applyAlignment="1">
      <alignment horizontal="center"/>
    </xf>
    <xf numFmtId="0" fontId="2" fillId="0" borderId="1" xfId="0" applyFont="1" applyFill="1" applyBorder="1" applyAlignment="1">
      <alignment horizontal="left" vertical="center"/>
    </xf>
    <xf numFmtId="49" fontId="2" fillId="0" borderId="1" xfId="0" applyNumberFormat="1" applyFont="1" applyFill="1" applyBorder="1" applyAlignment="1">
      <alignment horizontal="center" vertical="center"/>
    </xf>
    <xf numFmtId="0" fontId="2" fillId="0" borderId="0" xfId="0" applyFont="1" applyFill="1" applyAlignment="1">
      <alignment horizontal="left"/>
    </xf>
    <xf numFmtId="0" fontId="13" fillId="0" borderId="6" xfId="0" applyFont="1" applyFill="1" applyBorder="1" applyAlignment="1">
      <alignment horizontal="left"/>
    </xf>
    <xf numFmtId="49" fontId="13" fillId="0" borderId="6" xfId="0" applyNumberFormat="1" applyFont="1" applyFill="1" applyBorder="1" applyAlignment="1">
      <alignment horizontal="center"/>
    </xf>
    <xf numFmtId="0" fontId="13" fillId="0" borderId="6" xfId="0" applyFont="1" applyFill="1" applyBorder="1" applyAlignment="1">
      <alignment horizontal="center"/>
    </xf>
    <xf numFmtId="0" fontId="13" fillId="0" borderId="0" xfId="0" applyFont="1" applyFill="1" applyAlignment="1">
      <alignment horizontal="left"/>
    </xf>
    <xf numFmtId="0" fontId="13" fillId="0" borderId="0" xfId="0" applyFont="1" applyFill="1" applyBorder="1" applyAlignment="1" applyProtection="1">
      <alignment horizontal="left" vertical="center"/>
      <protection locked="0"/>
    </xf>
    <xf numFmtId="3" fontId="13" fillId="0" borderId="6" xfId="50" applyNumberFormat="1" applyFont="1" applyFill="1" applyBorder="1" applyAlignment="1" applyProtection="1">
      <alignment horizontal="center"/>
      <protection locked="0"/>
    </xf>
    <xf numFmtId="49" fontId="13" fillId="0" borderId="6" xfId="50" applyNumberFormat="1" applyFont="1" applyFill="1" applyBorder="1" applyAlignment="1">
      <alignment horizontal="center"/>
    </xf>
    <xf numFmtId="0" fontId="13" fillId="0" borderId="6" xfId="0" applyFont="1" applyFill="1" applyBorder="1" applyAlignment="1">
      <alignment horizontal="left" wrapText="1"/>
    </xf>
    <xf numFmtId="16" fontId="13" fillId="0" borderId="6" xfId="0" applyNumberFormat="1" applyFont="1" applyFill="1" applyBorder="1" applyAlignment="1">
      <alignment horizontal="left"/>
    </xf>
    <xf numFmtId="43" fontId="13" fillId="0" borderId="6" xfId="2" applyNumberFormat="1" applyFont="1" applyFill="1" applyBorder="1" applyAlignment="1" applyProtection="1">
      <alignment horizontal="left"/>
      <protection locked="0"/>
    </xf>
    <xf numFmtId="49" fontId="14" fillId="0" borderId="6" xfId="0" applyNumberFormat="1" applyFont="1" applyFill="1" applyBorder="1" applyAlignment="1">
      <alignment horizontal="center"/>
    </xf>
    <xf numFmtId="43" fontId="13" fillId="0" borderId="7" xfId="2" applyNumberFormat="1" applyFont="1" applyFill="1" applyBorder="1" applyAlignment="1" applyProtection="1">
      <alignment horizontal="left"/>
      <protection locked="0"/>
    </xf>
    <xf numFmtId="0" fontId="13" fillId="0" borderId="6" xfId="0" applyFont="1" applyFill="1" applyBorder="1" applyAlignment="1">
      <alignment horizontal="left" vertical="center"/>
    </xf>
    <xf numFmtId="0" fontId="13" fillId="0" borderId="8" xfId="0" applyFont="1" applyFill="1" applyBorder="1" applyAlignment="1">
      <alignment horizontal="left" vertical="center"/>
    </xf>
    <xf numFmtId="0" fontId="13" fillId="0" borderId="6" xfId="0" applyFont="1" applyFill="1" applyBorder="1" applyAlignment="1" applyProtection="1">
      <alignment horizontal="left" vertical="center"/>
      <protection hidden="1"/>
    </xf>
    <xf numFmtId="0" fontId="15" fillId="0" borderId="0" xfId="0" applyFont="1" applyFill="1" applyBorder="1" applyAlignment="1" applyProtection="1">
      <alignment horizontal="left" vertical="center"/>
    </xf>
    <xf numFmtId="0" fontId="13" fillId="0" borderId="0" xfId="0" applyFont="1" applyFill="1" applyAlignment="1"/>
    <xf numFmtId="0" fontId="13" fillId="0" borderId="0" xfId="0" applyFont="1" applyFill="1" applyAlignment="1">
      <alignment horizontal="centerContinuous"/>
    </xf>
    <xf numFmtId="0" fontId="13" fillId="0" borderId="1" xfId="0" applyFont="1" applyFill="1" applyBorder="1" applyAlignment="1">
      <alignment horizontal="left"/>
    </xf>
    <xf numFmtId="49" fontId="13" fillId="0" borderId="1" xfId="0" applyNumberFormat="1" applyFont="1" applyFill="1" applyBorder="1" applyAlignment="1">
      <alignment horizontal="center"/>
    </xf>
    <xf numFmtId="0" fontId="13" fillId="0" borderId="1" xfId="0" applyFont="1" applyFill="1" applyBorder="1" applyAlignment="1">
      <alignment horizontal="center"/>
    </xf>
    <xf numFmtId="43" fontId="13" fillId="0" borderId="0" xfId="2" applyNumberFormat="1" applyFont="1" applyFill="1" applyBorder="1" applyAlignment="1" applyProtection="1">
      <alignment horizontal="left"/>
      <protection locked="0"/>
    </xf>
    <xf numFmtId="1" fontId="13" fillId="0" borderId="9" xfId="0" applyNumberFormat="1" applyFont="1" applyFill="1" applyBorder="1" applyAlignment="1">
      <alignment horizontal="center"/>
    </xf>
    <xf numFmtId="0" fontId="13" fillId="0" borderId="9" xfId="0" applyFont="1" applyFill="1" applyBorder="1" applyAlignment="1">
      <alignment horizontal="left"/>
    </xf>
    <xf numFmtId="0" fontId="13" fillId="0" borderId="9" xfId="0" applyFont="1" applyFill="1" applyBorder="1" applyAlignment="1">
      <alignment horizontal="center"/>
    </xf>
    <xf numFmtId="1" fontId="13" fillId="0" borderId="0" xfId="0" applyNumberFormat="1" applyFont="1" applyFill="1" applyBorder="1" applyAlignment="1">
      <alignment horizontal="center"/>
    </xf>
    <xf numFmtId="0" fontId="13" fillId="0" borderId="0" xfId="0" applyFont="1" applyFill="1" applyBorder="1" applyAlignment="1">
      <alignment horizontal="left"/>
    </xf>
    <xf numFmtId="0" fontId="13" fillId="0" borderId="0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left" wrapText="1"/>
    </xf>
    <xf numFmtId="0" fontId="13" fillId="0" borderId="0" xfId="0" applyFont="1" applyFill="1" applyAlignment="1">
      <alignment horizontal="center"/>
    </xf>
    <xf numFmtId="49" fontId="13" fillId="0" borderId="6" xfId="0" applyNumberFormat="1" applyFont="1" applyFill="1" applyBorder="1" applyAlignment="1">
      <alignment horizontal="center" wrapText="1"/>
    </xf>
    <xf numFmtId="3" fontId="13" fillId="0" borderId="6" xfId="0" applyNumberFormat="1" applyFont="1" applyFill="1" applyBorder="1" applyAlignment="1">
      <alignment horizontal="center"/>
    </xf>
    <xf numFmtId="3" fontId="13" fillId="0" borderId="6" xfId="5" applyNumberFormat="1" applyFont="1" applyFill="1" applyBorder="1" applyAlignment="1">
      <alignment horizontal="left"/>
    </xf>
    <xf numFmtId="0" fontId="13" fillId="0" borderId="8" xfId="0" applyFont="1" applyFill="1" applyBorder="1" applyAlignment="1">
      <alignment horizontal="left"/>
    </xf>
    <xf numFmtId="49" fontId="13" fillId="0" borderId="8" xfId="0" applyNumberFormat="1" applyFont="1" applyFill="1" applyBorder="1" applyAlignment="1">
      <alignment horizontal="center"/>
    </xf>
    <xf numFmtId="0" fontId="13" fillId="0" borderId="8" xfId="0" applyFont="1" applyFill="1" applyBorder="1" applyAlignment="1">
      <alignment horizontal="center"/>
    </xf>
    <xf numFmtId="0" fontId="13" fillId="0" borderId="6" xfId="0" applyFont="1" applyFill="1" applyBorder="1" applyAlignment="1" applyProtection="1">
      <alignment horizontal="left" vertical="center"/>
      <protection locked="0"/>
    </xf>
    <xf numFmtId="0" fontId="13" fillId="0" borderId="7" xfId="0" applyFont="1" applyFill="1" applyBorder="1" applyAlignment="1" applyProtection="1">
      <alignment horizontal="left" vertical="center"/>
      <protection locked="0"/>
    </xf>
    <xf numFmtId="0" fontId="13" fillId="0" borderId="10" xfId="0" applyFont="1" applyFill="1" applyBorder="1" applyAlignment="1">
      <alignment horizontal="left" vertical="center"/>
    </xf>
    <xf numFmtId="49" fontId="13" fillId="0" borderId="10" xfId="0" applyNumberFormat="1" applyFont="1" applyFill="1" applyBorder="1" applyAlignment="1">
      <alignment horizontal="center"/>
    </xf>
    <xf numFmtId="0" fontId="13" fillId="0" borderId="10" xfId="0" applyFont="1" applyFill="1" applyBorder="1" applyAlignment="1">
      <alignment horizontal="center" vertical="center"/>
    </xf>
    <xf numFmtId="0" fontId="13" fillId="0" borderId="11" xfId="0" applyFont="1" applyFill="1" applyBorder="1" applyAlignment="1">
      <alignment horizontal="left"/>
    </xf>
    <xf numFmtId="49" fontId="13" fillId="0" borderId="11" xfId="0" applyNumberFormat="1" applyFont="1" applyFill="1" applyBorder="1" applyAlignment="1">
      <alignment horizontal="center"/>
    </xf>
    <xf numFmtId="0" fontId="13" fillId="0" borderId="11" xfId="0" applyFont="1" applyFill="1" applyBorder="1" applyAlignment="1">
      <alignment horizontal="center"/>
    </xf>
    <xf numFmtId="0" fontId="16" fillId="0" borderId="6" xfId="0" applyFont="1" applyFill="1" applyBorder="1" applyAlignment="1" applyProtection="1">
      <alignment horizontal="left"/>
    </xf>
    <xf numFmtId="0" fontId="13" fillId="0" borderId="6" xfId="0" applyFont="1" applyFill="1" applyBorder="1" applyAlignment="1" applyProtection="1">
      <alignment horizontal="left"/>
      <protection hidden="1"/>
    </xf>
    <xf numFmtId="0" fontId="13" fillId="0" borderId="6" xfId="0" applyFont="1" applyFill="1" applyBorder="1" applyAlignment="1">
      <alignment horizontal="center" vertical="center"/>
    </xf>
    <xf numFmtId="0" fontId="1" fillId="0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0" fontId="17" fillId="0" borderId="0" xfId="0" applyFont="1" applyAlignment="1">
      <alignment horizontal="center"/>
    </xf>
    <xf numFmtId="0" fontId="17" fillId="0" borderId="0" xfId="0" applyFont="1"/>
    <xf numFmtId="0" fontId="18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/>
    <xf numFmtId="0" fontId="18" fillId="0" borderId="1" xfId="0" applyFont="1" applyBorder="1" applyAlignment="1">
      <alignment horizontal="center"/>
    </xf>
    <xf numFmtId="0" fontId="19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/>
    </xf>
    <xf numFmtId="0" fontId="18" fillId="0" borderId="1" xfId="0" applyFont="1" applyBorder="1" applyAlignment="1">
      <alignment horizontal="center" vertical="center"/>
    </xf>
    <xf numFmtId="49" fontId="13" fillId="0" borderId="6" xfId="0" applyNumberFormat="1" applyFont="1" applyFill="1" applyBorder="1" applyAlignment="1" quotePrefix="1">
      <alignment horizontal="center"/>
    </xf>
    <xf numFmtId="0" fontId="13" fillId="0" borderId="6" xfId="0" applyFont="1" applyFill="1" applyBorder="1" applyAlignment="1" quotePrefix="1">
      <alignment horizontal="left"/>
    </xf>
    <xf numFmtId="49" fontId="13" fillId="0" borderId="6" xfId="50" applyNumberFormat="1" applyFont="1" applyFill="1" applyBorder="1" applyAlignment="1" quotePrefix="1">
      <alignment horizontal="center"/>
    </xf>
    <xf numFmtId="16" fontId="13" fillId="0" borderId="6" xfId="0" applyNumberFormat="1" applyFont="1" applyFill="1" applyBorder="1" applyAlignment="1" quotePrefix="1">
      <alignment horizontal="left"/>
    </xf>
    <xf numFmtId="49" fontId="14" fillId="0" borderId="6" xfId="0" applyNumberFormat="1" applyFont="1" applyFill="1" applyBorder="1" applyAlignment="1" quotePrefix="1">
      <alignment horizontal="center"/>
    </xf>
    <xf numFmtId="3" fontId="13" fillId="0" borderId="6" xfId="0" applyNumberFormat="1" applyFont="1" applyFill="1" applyBorder="1" applyAlignment="1" quotePrefix="1">
      <alignment horizontal="center"/>
    </xf>
    <xf numFmtId="0" fontId="13" fillId="0" borderId="6" xfId="0" applyFont="1" applyFill="1" applyBorder="1" applyAlignment="1" quotePrefix="1">
      <alignment horizontal="center"/>
    </xf>
  </cellXfs>
  <cellStyles count="51">
    <cellStyle name="Normal" xfId="0" builtinId="0"/>
    <cellStyle name="40% - Accent1" xfId="1" builtinId="31"/>
    <cellStyle name="Comma" xfId="2" builtinId="3"/>
    <cellStyle name="Comma [0]" xfId="3" builtinId="6"/>
    <cellStyle name="Currency [0]" xfId="4" builtinId="7"/>
    <cellStyle name="Normal_Vinh Trach Dong(hc)" xfId="5"/>
    <cellStyle name="Currency" xfId="6" builtinId="4"/>
    <cellStyle name="Percent" xfId="7" builtinId="5"/>
    <cellStyle name="Check Cell" xfId="8" builtinId="23"/>
    <cellStyle name="Heading 2" xfId="9" builtinId="17"/>
    <cellStyle name="Note" xfId="10" builtinId="10"/>
    <cellStyle name="Hyperlink" xfId="11" builtinId="8"/>
    <cellStyle name="60% - Accent4" xfId="12" builtinId="44"/>
    <cellStyle name="Followed Hyperlink" xfId="13" builtinId="9"/>
    <cellStyle name="40% - Accent3" xfId="14" builtinId="39"/>
    <cellStyle name="Warning Text" xfId="15" builtinId="11"/>
    <cellStyle name="40% - Accent2" xfId="16" builtinId="35"/>
    <cellStyle name="Title" xfId="17" builtinId="15"/>
    <cellStyle name="CExplanatory Text" xfId="18" builtinId="53"/>
    <cellStyle name="Heading 1" xfId="19" builtinId="16"/>
    <cellStyle name="Heading 3" xfId="20" builtinId="18"/>
    <cellStyle name="Heading 4" xfId="21" builtinId="19"/>
    <cellStyle name="Input" xfId="22" builtinId="20"/>
    <cellStyle name="60% - Accent3" xfId="23" builtinId="40"/>
    <cellStyle name="Good" xfId="24" builtinId="26"/>
    <cellStyle name="Output" xfId="25" builtinId="21"/>
    <cellStyle name="20% - Accent1" xfId="26" builtinId="30"/>
    <cellStyle name="Calculation" xfId="27" builtinId="22"/>
    <cellStyle name="Linked Cell" xfId="28" builtinId="24"/>
    <cellStyle name="Total" xfId="29" builtinId="25"/>
    <cellStyle name="Bad" xfId="30" builtinId="27"/>
    <cellStyle name="Neutral" xfId="31" builtinId="28"/>
    <cellStyle name="Accent1" xfId="32" builtinId="29"/>
    <cellStyle name="20% - Accent5" xfId="33" builtinId="46"/>
    <cellStyle name="60% - Accent1" xfId="34" builtinId="32"/>
    <cellStyle name="Accent2" xfId="35" builtinId="33"/>
    <cellStyle name="20% - Accent2" xfId="36" builtinId="34"/>
    <cellStyle name="20% - Accent6" xfId="37" builtinId="50"/>
    <cellStyle name="60% - Accent2" xfId="38" builtinId="36"/>
    <cellStyle name="Accent3" xfId="39" builtinId="37"/>
    <cellStyle name="20% - Accent3" xfId="40" builtinId="38"/>
    <cellStyle name="Accent4" xfId="41" builtinId="41"/>
    <cellStyle name="20% - Accent4" xfId="42" builtinId="42"/>
    <cellStyle name="40% - Accent4" xfId="43" builtinId="43"/>
    <cellStyle name="Accent5" xfId="44" builtinId="45"/>
    <cellStyle name="40% - Accent5" xfId="45" builtinId="47"/>
    <cellStyle name="60% - Accent5" xfId="46" builtinId="48"/>
    <cellStyle name="Accent6" xfId="47" builtinId="49"/>
    <cellStyle name="40% - Accent6" xfId="48" builtinId="51"/>
    <cellStyle name="60% - Accent6" xfId="49" builtinId="52"/>
    <cellStyle name="Normal_DU TOANTICH THIEN2" xfId="50"/>
  </cellStyles>
  <dxfs count="1"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5" Type="http://schemas.openxmlformats.org/officeDocument/2006/relationships/sharedStrings" Target="sharedStrings.xml"/><Relationship Id="rId14" Type="http://schemas.openxmlformats.org/officeDocument/2006/relationships/styles" Target="styles.xml"/><Relationship Id="rId13" Type="http://schemas.openxmlformats.org/officeDocument/2006/relationships/theme" Target="theme/theme1.xml"/><Relationship Id="rId12" Type="http://schemas.openxmlformats.org/officeDocument/2006/relationships/externalLink" Target="externalLinks/externalLink1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ienBan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WORD"/>
      <sheetName val="DG"/>
      <sheetName val="BangKeTru"/>
      <sheetName val="2Mong"/>
      <sheetName val="3Tru"/>
      <sheetName val="04BT"/>
      <sheetName val="05Neo"/>
      <sheetName val="6PK"/>
      <sheetName val="TiepDia"/>
      <sheetName val="7day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2:C35"/>
  <sheetViews>
    <sheetView workbookViewId="0">
      <selection activeCell="C23" sqref="C23"/>
    </sheetView>
  </sheetViews>
  <sheetFormatPr defaultColWidth="9.11111111111111" defaultRowHeight="13.8" outlineLevelCol="2"/>
  <cols>
    <col min="1" max="1" width="9.11111111111111" style="108"/>
    <col min="2" max="3" width="12.6666666666667" style="109" customWidth="1"/>
    <col min="4" max="4" width="9.11111111111111" style="110"/>
    <col min="5" max="5" width="10.1111111111111" style="110" customWidth="1"/>
    <col min="6" max="16384" width="9.11111111111111" style="110"/>
  </cols>
  <sheetData>
    <row r="2" spans="1:3">
      <c r="A2" s="111"/>
      <c r="B2" s="112" t="s">
        <v>0</v>
      </c>
      <c r="C2" s="112" t="s">
        <v>1</v>
      </c>
    </row>
    <row r="3" spans="1:3">
      <c r="A3" s="113" t="s">
        <v>2</v>
      </c>
      <c r="B3" s="114"/>
      <c r="C3" s="114"/>
    </row>
    <row r="4" spans="1:3">
      <c r="A4" s="111" t="s">
        <v>3</v>
      </c>
      <c r="B4" s="114">
        <v>1</v>
      </c>
      <c r="C4" s="114"/>
    </row>
    <row r="5" spans="1:3">
      <c r="A5" s="111" t="s">
        <v>4</v>
      </c>
      <c r="B5" s="114"/>
      <c r="C5" s="114">
        <v>2</v>
      </c>
    </row>
    <row r="6" spans="1:3">
      <c r="A6" s="111" t="s">
        <v>5</v>
      </c>
      <c r="B6" s="114">
        <v>1</v>
      </c>
      <c r="C6" s="114"/>
    </row>
    <row r="7" spans="1:3">
      <c r="A7" s="111" t="s">
        <v>6</v>
      </c>
      <c r="B7" s="114">
        <v>1</v>
      </c>
      <c r="C7" s="114">
        <v>2</v>
      </c>
    </row>
    <row r="8" spans="1:3">
      <c r="A8" s="111" t="s">
        <v>7</v>
      </c>
      <c r="B8" s="114">
        <v>1</v>
      </c>
      <c r="C8" s="114">
        <v>2</v>
      </c>
    </row>
    <row r="9" spans="1:3">
      <c r="A9" s="111" t="s">
        <v>8</v>
      </c>
      <c r="B9" s="114"/>
      <c r="C9" s="114">
        <v>2</v>
      </c>
    </row>
    <row r="10" spans="1:3">
      <c r="A10" s="111" t="s">
        <v>9</v>
      </c>
      <c r="B10" s="114">
        <v>1</v>
      </c>
      <c r="C10" s="114">
        <v>2</v>
      </c>
    </row>
    <row r="11" spans="1:3">
      <c r="A11" s="111" t="s">
        <v>10</v>
      </c>
      <c r="B11" s="114"/>
      <c r="C11" s="114">
        <v>2</v>
      </c>
    </row>
    <row r="12" spans="1:3">
      <c r="A12" s="111" t="s">
        <v>11</v>
      </c>
      <c r="B12" s="114">
        <v>1</v>
      </c>
      <c r="C12" s="114">
        <v>2</v>
      </c>
    </row>
    <row r="13" spans="1:3">
      <c r="A13" s="111" t="s">
        <v>12</v>
      </c>
      <c r="B13" s="114">
        <v>1</v>
      </c>
      <c r="C13" s="114">
        <v>2</v>
      </c>
    </row>
    <row r="14" spans="1:3">
      <c r="A14" s="113" t="s">
        <v>13</v>
      </c>
      <c r="B14" s="114"/>
      <c r="C14" s="114"/>
    </row>
    <row r="15" spans="1:3">
      <c r="A15" s="111" t="s">
        <v>3</v>
      </c>
      <c r="B15" s="114">
        <v>1</v>
      </c>
      <c r="C15" s="114">
        <v>2</v>
      </c>
    </row>
    <row r="16" spans="1:3">
      <c r="A16" s="111" t="s">
        <v>4</v>
      </c>
      <c r="B16" s="114"/>
      <c r="C16" s="114">
        <v>2</v>
      </c>
    </row>
    <row r="17" spans="1:3">
      <c r="A17" s="111" t="s">
        <v>5</v>
      </c>
      <c r="B17" s="114">
        <v>1</v>
      </c>
      <c r="C17" s="114">
        <v>2</v>
      </c>
    </row>
    <row r="18" spans="1:3">
      <c r="A18" s="111" t="s">
        <v>6</v>
      </c>
      <c r="B18" s="114">
        <v>1</v>
      </c>
      <c r="C18" s="114"/>
    </row>
    <row r="19" spans="1:3">
      <c r="A19" s="111" t="s">
        <v>7</v>
      </c>
      <c r="B19" s="114">
        <v>1</v>
      </c>
      <c r="C19" s="114">
        <v>2</v>
      </c>
    </row>
    <row r="20" spans="1:3">
      <c r="A20" s="111" t="s">
        <v>8</v>
      </c>
      <c r="B20" s="114"/>
      <c r="C20" s="114">
        <v>2</v>
      </c>
    </row>
    <row r="21" spans="1:3">
      <c r="A21" s="111" t="s">
        <v>9</v>
      </c>
      <c r="B21" s="114"/>
      <c r="C21" s="114">
        <v>2</v>
      </c>
    </row>
    <row r="22" spans="1:3">
      <c r="A22" s="111" t="s">
        <v>10</v>
      </c>
      <c r="B22" s="114">
        <v>1</v>
      </c>
      <c r="C22" s="114">
        <v>2</v>
      </c>
    </row>
    <row r="23" spans="1:3">
      <c r="A23" s="111" t="s">
        <v>11</v>
      </c>
      <c r="B23" s="114">
        <v>1</v>
      </c>
      <c r="C23" s="114"/>
    </row>
    <row r="24" spans="1:3">
      <c r="A24" s="111" t="s">
        <v>12</v>
      </c>
      <c r="B24" s="114">
        <v>1</v>
      </c>
      <c r="C24" s="114">
        <v>2</v>
      </c>
    </row>
    <row r="25" spans="1:3">
      <c r="A25" s="113" t="s">
        <v>14</v>
      </c>
      <c r="B25" s="114"/>
      <c r="C25" s="114"/>
    </row>
    <row r="26" spans="1:3">
      <c r="A26" s="111" t="s">
        <v>3</v>
      </c>
      <c r="B26" s="114">
        <v>1</v>
      </c>
      <c r="C26" s="114">
        <v>2</v>
      </c>
    </row>
    <row r="27" spans="1:3">
      <c r="A27" s="111" t="s">
        <v>4</v>
      </c>
      <c r="B27" s="114"/>
      <c r="C27" s="114">
        <v>2</v>
      </c>
    </row>
    <row r="28" spans="1:3">
      <c r="A28" s="111" t="s">
        <v>5</v>
      </c>
      <c r="B28" s="114">
        <v>1</v>
      </c>
      <c r="C28" s="114">
        <v>2</v>
      </c>
    </row>
    <row r="29" spans="1:3">
      <c r="A29" s="111" t="s">
        <v>6</v>
      </c>
      <c r="B29" s="114">
        <v>1</v>
      </c>
      <c r="C29" s="114">
        <v>2</v>
      </c>
    </row>
    <row r="30" spans="1:3">
      <c r="A30" s="111" t="s">
        <v>7</v>
      </c>
      <c r="B30" s="114"/>
      <c r="C30" s="114">
        <v>2</v>
      </c>
    </row>
    <row r="31" spans="1:3">
      <c r="A31" s="111" t="s">
        <v>8</v>
      </c>
      <c r="B31" s="114"/>
      <c r="C31" s="114"/>
    </row>
    <row r="32" spans="1:3">
      <c r="A32" s="111" t="s">
        <v>9</v>
      </c>
      <c r="B32" s="114">
        <v>1</v>
      </c>
      <c r="C32" s="114"/>
    </row>
    <row r="33" spans="1:3">
      <c r="A33" s="111" t="s">
        <v>10</v>
      </c>
      <c r="B33" s="114">
        <v>1</v>
      </c>
      <c r="C33" s="114">
        <v>2</v>
      </c>
    </row>
    <row r="34" spans="1:3">
      <c r="A34" s="111" t="s">
        <v>11</v>
      </c>
      <c r="B34" s="114">
        <v>1</v>
      </c>
      <c r="C34" s="114">
        <v>2</v>
      </c>
    </row>
    <row r="35" spans="1:3">
      <c r="A35" s="111" t="s">
        <v>12</v>
      </c>
      <c r="B35" s="114">
        <v>1</v>
      </c>
      <c r="C35" s="114">
        <v>2</v>
      </c>
    </row>
  </sheetData>
  <pageMargins left="0.7" right="0.7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3:C15"/>
  <sheetViews>
    <sheetView workbookViewId="0">
      <selection activeCell="F2" sqref="F2"/>
    </sheetView>
  </sheetViews>
  <sheetFormatPr defaultColWidth="9" defaultRowHeight="14.4" outlineLevelCol="2"/>
  <cols>
    <col min="1" max="1" width="5.11111111111111" style="105" customWidth="1"/>
    <col min="2" max="2" width="18.3333333333333" customWidth="1"/>
    <col min="3" max="3" width="36.5555555555556" customWidth="1"/>
  </cols>
  <sheetData>
    <row r="3" spans="1:3">
      <c r="A3" s="106" t="s">
        <v>15</v>
      </c>
      <c r="B3" s="107" t="s">
        <v>16</v>
      </c>
      <c r="C3" s="106" t="s">
        <v>17</v>
      </c>
    </row>
    <row r="4" ht="15" customHeight="1" spans="1:3">
      <c r="A4" s="105">
        <v>1</v>
      </c>
      <c r="B4" t="s">
        <v>0</v>
      </c>
      <c r="C4" t="s">
        <v>2</v>
      </c>
    </row>
    <row r="5" ht="15" customHeight="1" spans="3:3">
      <c r="C5" t="e">
        <f ca="1" t="array" ref="C5">"Trụ: "&amp;SUBSTITUTE(JoinText(", ",IF(1/('Dữ liệu'!B4:B13&lt;&gt;""),'Dữ liệu'!A4:A13)),"Trụ ","")</f>
        <v>#NAME?</v>
      </c>
    </row>
    <row r="6" spans="3:3">
      <c r="C6" t="s">
        <v>13</v>
      </c>
    </row>
    <row r="7" spans="3:3">
      <c r="C7" t="e">
        <f ca="1" t="array" ref="C7">"Trụ: "&amp;SUBSTITUTE(JoinText(", ",IF(1/('Dữ liệu'!B15:B24&lt;&gt;""),'Dữ liệu'!A15:A24)),"Trụ ","")</f>
        <v>#NAME?</v>
      </c>
    </row>
    <row r="8" spans="3:3">
      <c r="C8" t="s">
        <v>14</v>
      </c>
    </row>
    <row r="9" spans="3:3">
      <c r="C9" t="e">
        <f ca="1" t="array" ref="C9">"Trụ: "&amp;SUBSTITUTE(JoinText(", ",IF(1/('Dữ liệu'!B26:B35&lt;&gt;""),'Dữ liệu'!A26:A35)),"Trụ ","")</f>
        <v>#NAME?</v>
      </c>
    </row>
    <row r="10" spans="1:3">
      <c r="A10" s="105">
        <v>2</v>
      </c>
      <c r="B10" t="s">
        <v>1</v>
      </c>
      <c r="C10" t="s">
        <v>2</v>
      </c>
    </row>
    <row r="11" spans="3:3">
      <c r="C11" t="e">
        <f ca="1" t="array" ref="C11">"Trụ: "&amp;SUBSTITUTE(JoinText(", ",IF(1/('Dữ liệu'!C4:C13&lt;&gt;""),'Dữ liệu'!A4:A13)),"Trụ ","")</f>
        <v>#NAME?</v>
      </c>
    </row>
    <row r="12" spans="3:3">
      <c r="C12" t="s">
        <v>13</v>
      </c>
    </row>
    <row r="13" spans="3:3">
      <c r="C13" t="e">
        <f ca="1" t="array" ref="C13">"Trụ: "&amp;SUBSTITUTE(JoinText(", ",IF(1/('Dữ liệu'!C15:C24&lt;&gt;""),'Dữ liệu'!A15:A24)),"Trụ ","")</f>
        <v>#NAME?</v>
      </c>
    </row>
    <row r="14" spans="3:3">
      <c r="C14" t="s">
        <v>14</v>
      </c>
    </row>
    <row r="15" spans="3:3">
      <c r="C15" t="e">
        <f ca="1" t="array" ref="C15">"Trụ: "&amp;SUBSTITUTE(JoinText(", ",IF(1/('Dữ liệu'!C26:C35&lt;&gt;""),'Dữ liệu'!A26:A35)),"Trụ ","")</f>
        <v>#NAME?</v>
      </c>
    </row>
  </sheetData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H1476"/>
  <sheetViews>
    <sheetView showZeros="0" tabSelected="1" workbookViewId="0">
      <pane xSplit="3" ySplit="2" topLeftCell="D1452" activePane="bottomRight" state="frozen"/>
      <selection/>
      <selection pane="topRight"/>
      <selection pane="bottomLeft"/>
      <selection pane="bottomRight" activeCell="C1458" sqref="C1458"/>
    </sheetView>
  </sheetViews>
  <sheetFormatPr defaultColWidth="10.8796296296296" defaultRowHeight="13.2" outlineLevelCol="7"/>
  <cols>
    <col min="1" max="1" width="18.7777777777778" style="52" customWidth="1"/>
    <col min="2" max="2" width="12" style="53" customWidth="1"/>
    <col min="3" max="3" width="71.4444444444444" style="52" customWidth="1"/>
    <col min="4" max="4" width="10.8796296296296" style="51" customWidth="1"/>
    <col min="5" max="5" width="6.22222222222222" style="51" customWidth="1"/>
    <col min="6" max="7" width="10.8796296296296" style="51"/>
    <col min="8" max="8" width="22.5555555555556" style="51" customWidth="1"/>
    <col min="9" max="16384" width="10.8796296296296" style="51"/>
  </cols>
  <sheetData>
    <row r="1" s="50" customFormat="1" ht="35" customHeight="1" spans="1:8">
      <c r="A1" s="54" t="s">
        <v>18</v>
      </c>
      <c r="B1" s="55" t="s">
        <v>19</v>
      </c>
      <c r="C1" s="3" t="s">
        <v>20</v>
      </c>
      <c r="D1" s="3" t="s">
        <v>21</v>
      </c>
      <c r="E1" s="56"/>
      <c r="F1" s="50" t="s">
        <v>15</v>
      </c>
      <c r="G1" s="50" t="s">
        <v>22</v>
      </c>
      <c r="H1" s="50" t="s">
        <v>23</v>
      </c>
    </row>
    <row r="2" s="50" customFormat="1" ht="21.75" customHeight="1" spans="1:6">
      <c r="A2" s="54"/>
      <c r="B2" s="55">
        <v>2</v>
      </c>
      <c r="C2" s="54">
        <v>3</v>
      </c>
      <c r="D2" s="3">
        <v>4</v>
      </c>
      <c r="E2" s="56"/>
      <c r="F2" s="50">
        <v>3000</v>
      </c>
    </row>
    <row r="3" spans="1:8">
      <c r="A3" s="57" t="s">
        <v>24</v>
      </c>
      <c r="B3" s="115" t="s">
        <v>25</v>
      </c>
      <c r="C3" s="57" t="s">
        <v>26</v>
      </c>
      <c r="D3" s="59" t="s">
        <v>27</v>
      </c>
      <c r="E3" s="60" t="str">
        <f ca="1" t="shared" ref="E3:E66" si="0">LEFT(A3,2)</f>
        <v>D1</v>
      </c>
      <c r="F3" s="51">
        <v>50</v>
      </c>
      <c r="G3" s="51" t="s">
        <v>28</v>
      </c>
      <c r="H3" s="51">
        <v>1</v>
      </c>
    </row>
    <row r="4" spans="1:8">
      <c r="A4" s="57" t="s">
        <v>29</v>
      </c>
      <c r="B4" s="115" t="s">
        <v>30</v>
      </c>
      <c r="C4" s="57" t="s">
        <v>31</v>
      </c>
      <c r="D4" s="59" t="s">
        <v>27</v>
      </c>
      <c r="E4" s="60" t="str">
        <f ca="1" t="shared" si="0"/>
        <v>D1</v>
      </c>
      <c r="F4" s="51">
        <v>50</v>
      </c>
      <c r="G4" s="51" t="s">
        <v>28</v>
      </c>
      <c r="H4" s="51">
        <v>1</v>
      </c>
    </row>
    <row r="5" spans="1:8">
      <c r="A5" s="57" t="s">
        <v>32</v>
      </c>
      <c r="B5" s="115" t="s">
        <v>33</v>
      </c>
      <c r="C5" s="57" t="s">
        <v>34</v>
      </c>
      <c r="D5" s="59" t="s">
        <v>27</v>
      </c>
      <c r="E5" s="60" t="str">
        <f ca="1" t="shared" si="0"/>
        <v>D2</v>
      </c>
      <c r="F5" s="51">
        <v>50</v>
      </c>
      <c r="G5" s="51" t="s">
        <v>28</v>
      </c>
      <c r="H5" s="51" t="e">
        <v>#N/A</v>
      </c>
    </row>
    <row r="6" spans="1:8">
      <c r="A6" s="57" t="s">
        <v>35</v>
      </c>
      <c r="B6" s="115" t="s">
        <v>33</v>
      </c>
      <c r="C6" s="57" t="s">
        <v>36</v>
      </c>
      <c r="D6" s="59" t="s">
        <v>27</v>
      </c>
      <c r="E6" s="60" t="str">
        <f ca="1" t="shared" si="0"/>
        <v>D2</v>
      </c>
      <c r="F6" s="51">
        <v>50</v>
      </c>
      <c r="G6" s="51" t="s">
        <v>28</v>
      </c>
      <c r="H6" s="51" t="e">
        <v>#N/A</v>
      </c>
    </row>
    <row r="7" spans="1:8">
      <c r="A7" s="57" t="s">
        <v>37</v>
      </c>
      <c r="B7" s="115" t="s">
        <v>30</v>
      </c>
      <c r="C7" s="57" t="s">
        <v>38</v>
      </c>
      <c r="D7" s="59" t="s">
        <v>27</v>
      </c>
      <c r="E7" s="60" t="str">
        <f ca="1" t="shared" si="0"/>
        <v>DN</v>
      </c>
      <c r="F7" s="51">
        <v>50</v>
      </c>
      <c r="G7" s="51" t="s">
        <v>28</v>
      </c>
      <c r="H7" s="51">
        <v>1</v>
      </c>
    </row>
    <row r="8" spans="1:8">
      <c r="A8" s="57" t="s">
        <v>39</v>
      </c>
      <c r="B8" s="115" t="s">
        <v>30</v>
      </c>
      <c r="C8" s="57" t="s">
        <v>40</v>
      </c>
      <c r="D8" s="59" t="s">
        <v>27</v>
      </c>
      <c r="E8" s="60" t="str">
        <f ca="1" t="shared" si="0"/>
        <v>DN</v>
      </c>
      <c r="F8" s="51">
        <v>50</v>
      </c>
      <c r="G8" s="51" t="s">
        <v>28</v>
      </c>
      <c r="H8" s="51">
        <v>1</v>
      </c>
    </row>
    <row r="9" spans="1:8">
      <c r="A9" s="57" t="s">
        <v>41</v>
      </c>
      <c r="B9" s="115" t="s">
        <v>33</v>
      </c>
      <c r="C9" s="57" t="s">
        <v>42</v>
      </c>
      <c r="D9" s="59" t="s">
        <v>27</v>
      </c>
      <c r="E9" s="60" t="str">
        <f ca="1" t="shared" si="0"/>
        <v>DN</v>
      </c>
      <c r="F9" s="51">
        <v>50</v>
      </c>
      <c r="G9" s="51" t="s">
        <v>28</v>
      </c>
      <c r="H9" s="51">
        <v>1</v>
      </c>
    </row>
    <row r="10" spans="1:8">
      <c r="A10" s="57" t="s">
        <v>43</v>
      </c>
      <c r="B10" s="115" t="s">
        <v>33</v>
      </c>
      <c r="C10" s="57" t="s">
        <v>44</v>
      </c>
      <c r="D10" s="59" t="s">
        <v>27</v>
      </c>
      <c r="E10" s="60" t="str">
        <f ca="1" t="shared" si="0"/>
        <v>DN</v>
      </c>
      <c r="F10" s="51">
        <v>50</v>
      </c>
      <c r="G10" s="51" t="s">
        <v>28</v>
      </c>
      <c r="H10" s="51">
        <v>1</v>
      </c>
    </row>
    <row r="11" spans="1:8">
      <c r="A11" s="57" t="s">
        <v>45</v>
      </c>
      <c r="B11" s="115" t="s">
        <v>33</v>
      </c>
      <c r="C11" s="57" t="s">
        <v>46</v>
      </c>
      <c r="D11" s="59" t="s">
        <v>27</v>
      </c>
      <c r="E11" s="60" t="str">
        <f ca="1" t="shared" si="0"/>
        <v>DN</v>
      </c>
      <c r="F11" s="51">
        <v>50</v>
      </c>
      <c r="G11" s="51" t="s">
        <v>28</v>
      </c>
      <c r="H11" s="51" t="e">
        <v>#N/A</v>
      </c>
    </row>
    <row r="12" spans="1:8">
      <c r="A12" s="57" t="s">
        <v>47</v>
      </c>
      <c r="B12" s="115" t="s">
        <v>33</v>
      </c>
      <c r="C12" s="57" t="s">
        <v>48</v>
      </c>
      <c r="D12" s="59" t="s">
        <v>27</v>
      </c>
      <c r="E12" s="60" t="str">
        <f ca="1" t="shared" si="0"/>
        <v>DN</v>
      </c>
      <c r="F12" s="51">
        <v>50</v>
      </c>
      <c r="G12" s="51" t="s">
        <v>28</v>
      </c>
      <c r="H12" s="51" t="e">
        <v>#N/A</v>
      </c>
    </row>
    <row r="13" spans="1:8">
      <c r="A13" s="57" t="s">
        <v>49</v>
      </c>
      <c r="B13" s="115" t="s">
        <v>30</v>
      </c>
      <c r="C13" s="57" t="s">
        <v>50</v>
      </c>
      <c r="D13" s="59" t="s">
        <v>27</v>
      </c>
      <c r="E13" s="60" t="str">
        <f ca="1" t="shared" si="0"/>
        <v>DN</v>
      </c>
      <c r="F13" s="51">
        <v>50</v>
      </c>
      <c r="G13" s="51" t="s">
        <v>28</v>
      </c>
      <c r="H13" s="51" t="e">
        <v>#N/A</v>
      </c>
    </row>
    <row r="14" spans="1:8">
      <c r="A14" s="57" t="s">
        <v>51</v>
      </c>
      <c r="B14" s="58"/>
      <c r="C14" s="57" t="s">
        <v>52</v>
      </c>
      <c r="D14" s="59" t="s">
        <v>27</v>
      </c>
      <c r="E14" s="60" t="str">
        <f ca="1" t="shared" si="0"/>
        <v>BN</v>
      </c>
      <c r="F14" s="51">
        <v>997</v>
      </c>
      <c r="G14" s="51" t="s">
        <v>28</v>
      </c>
      <c r="H14" s="51">
        <v>0</v>
      </c>
    </row>
    <row r="15" spans="1:8">
      <c r="A15" s="57" t="s">
        <v>53</v>
      </c>
      <c r="B15" s="58"/>
      <c r="C15" s="57" t="s">
        <v>54</v>
      </c>
      <c r="D15" s="59" t="s">
        <v>27</v>
      </c>
      <c r="E15" s="60" t="str">
        <f ca="1" t="shared" si="0"/>
        <v>BB</v>
      </c>
      <c r="F15" s="51">
        <v>50</v>
      </c>
      <c r="G15" s="51" t="s">
        <v>28</v>
      </c>
      <c r="H15" s="51">
        <v>0</v>
      </c>
    </row>
    <row r="16" spans="1:8">
      <c r="A16" s="57" t="s">
        <v>55</v>
      </c>
      <c r="B16" s="58"/>
      <c r="C16" s="57" t="s">
        <v>56</v>
      </c>
      <c r="D16" s="59" t="s">
        <v>57</v>
      </c>
      <c r="E16" s="60" t="str">
        <f ca="1" t="shared" si="0"/>
        <v>B4</v>
      </c>
      <c r="F16" s="51">
        <v>50</v>
      </c>
      <c r="G16" s="51" t="s">
        <v>28</v>
      </c>
      <c r="H16" s="51" t="e">
        <v>#N/A</v>
      </c>
    </row>
    <row r="17" spans="1:8">
      <c r="A17" s="57" t="s">
        <v>58</v>
      </c>
      <c r="B17" s="58"/>
      <c r="C17" s="57" t="s">
        <v>59</v>
      </c>
      <c r="D17" s="59" t="s">
        <v>57</v>
      </c>
      <c r="E17" s="60" t="str">
        <f ca="1" t="shared" si="0"/>
        <v>B6</v>
      </c>
      <c r="F17" s="51">
        <v>50</v>
      </c>
      <c r="G17" s="51" t="s">
        <v>28</v>
      </c>
      <c r="H17" s="51" t="e">
        <v>#N/A</v>
      </c>
    </row>
    <row r="18" spans="1:8">
      <c r="A18" s="57" t="s">
        <v>60</v>
      </c>
      <c r="B18" s="58"/>
      <c r="C18" s="57" t="s">
        <v>61</v>
      </c>
      <c r="D18" s="59" t="s">
        <v>57</v>
      </c>
      <c r="E18" s="60" t="str">
        <f ca="1" t="shared" si="0"/>
        <v>B1</v>
      </c>
      <c r="F18" s="51">
        <v>50</v>
      </c>
      <c r="G18" s="51" t="s">
        <v>28</v>
      </c>
      <c r="H18" s="51" t="e">
        <v>#N/A</v>
      </c>
    </row>
    <row r="19" spans="1:8">
      <c r="A19" s="57" t="s">
        <v>62</v>
      </c>
      <c r="B19" s="58"/>
      <c r="C19" s="57" t="s">
        <v>63</v>
      </c>
      <c r="D19" s="59" t="s">
        <v>57</v>
      </c>
      <c r="E19" s="60" t="str">
        <f ca="1" t="shared" si="0"/>
        <v>B1</v>
      </c>
      <c r="F19" s="51">
        <v>50</v>
      </c>
      <c r="G19" s="51" t="s">
        <v>28</v>
      </c>
      <c r="H19" s="51">
        <v>0</v>
      </c>
    </row>
    <row r="20" spans="1:8">
      <c r="A20" s="57" t="s">
        <v>64</v>
      </c>
      <c r="B20" s="58"/>
      <c r="C20" s="57" t="s">
        <v>65</v>
      </c>
      <c r="D20" s="59" t="s">
        <v>57</v>
      </c>
      <c r="E20" s="60" t="str">
        <f ca="1" t="shared" si="0"/>
        <v>B1</v>
      </c>
      <c r="F20" s="51">
        <v>50</v>
      </c>
      <c r="G20" s="51" t="s">
        <v>28</v>
      </c>
      <c r="H20" s="51" t="e">
        <v>#N/A</v>
      </c>
    </row>
    <row r="21" s="51" customFormat="1" spans="1:8">
      <c r="A21" s="57" t="s">
        <v>66</v>
      </c>
      <c r="B21" s="58"/>
      <c r="C21" s="57" t="s">
        <v>67</v>
      </c>
      <c r="D21" s="59" t="s">
        <v>57</v>
      </c>
      <c r="E21" s="60" t="str">
        <f ca="1" t="shared" si="0"/>
        <v>B1</v>
      </c>
      <c r="F21" s="51">
        <v>50</v>
      </c>
      <c r="G21" s="51" t="s">
        <v>28</v>
      </c>
      <c r="H21" s="51" t="s">
        <v>57</v>
      </c>
    </row>
    <row r="22" s="51" customFormat="1" spans="1:8">
      <c r="A22" s="57" t="s">
        <v>68</v>
      </c>
      <c r="B22" s="58"/>
      <c r="C22" s="57" t="s">
        <v>69</v>
      </c>
      <c r="D22" s="59" t="s">
        <v>57</v>
      </c>
      <c r="E22" s="60" t="str">
        <f ca="1" t="shared" si="0"/>
        <v>B1</v>
      </c>
      <c r="F22" s="51">
        <v>50</v>
      </c>
      <c r="G22" s="51" t="s">
        <v>28</v>
      </c>
      <c r="H22" s="51">
        <v>0</v>
      </c>
    </row>
    <row r="23" s="51" customFormat="1" spans="1:8">
      <c r="A23" s="57" t="s">
        <v>70</v>
      </c>
      <c r="B23" s="58"/>
      <c r="C23" s="57" t="s">
        <v>71</v>
      </c>
      <c r="D23" s="59" t="s">
        <v>57</v>
      </c>
      <c r="E23" s="60" t="str">
        <f ca="1" t="shared" si="0"/>
        <v>B1</v>
      </c>
      <c r="F23" s="51">
        <v>50</v>
      </c>
      <c r="G23" s="51" t="s">
        <v>28</v>
      </c>
      <c r="H23" s="51">
        <v>1</v>
      </c>
    </row>
    <row r="24" s="51" customFormat="1" spans="1:8">
      <c r="A24" s="57" t="s">
        <v>72</v>
      </c>
      <c r="B24" s="58"/>
      <c r="C24" s="57" t="s">
        <v>73</v>
      </c>
      <c r="D24" s="59" t="s">
        <v>57</v>
      </c>
      <c r="E24" s="60" t="str">
        <f ca="1" t="shared" si="0"/>
        <v>B1</v>
      </c>
      <c r="F24" s="51">
        <v>50</v>
      </c>
      <c r="G24" s="51" t="s">
        <v>28</v>
      </c>
      <c r="H24" s="51">
        <v>4</v>
      </c>
    </row>
    <row r="25" s="51" customFormat="1" spans="1:8">
      <c r="A25" s="57" t="s">
        <v>74</v>
      </c>
      <c r="B25" s="58"/>
      <c r="C25" s="57" t="s">
        <v>75</v>
      </c>
      <c r="D25" s="59" t="s">
        <v>57</v>
      </c>
      <c r="E25" s="60" t="str">
        <f ca="1" t="shared" si="0"/>
        <v>B1</v>
      </c>
      <c r="F25" s="51">
        <v>50</v>
      </c>
      <c r="G25" s="51" t="s">
        <v>28</v>
      </c>
      <c r="H25" s="51">
        <v>0</v>
      </c>
    </row>
    <row r="26" s="51" customFormat="1" spans="1:8">
      <c r="A26" s="57" t="s">
        <v>76</v>
      </c>
      <c r="B26" s="58"/>
      <c r="C26" s="57" t="s">
        <v>77</v>
      </c>
      <c r="D26" s="59" t="s">
        <v>57</v>
      </c>
      <c r="E26" s="60" t="str">
        <f ca="1" t="shared" si="0"/>
        <v>B1</v>
      </c>
      <c r="F26" s="51">
        <v>50</v>
      </c>
      <c r="G26" s="51" t="s">
        <v>28</v>
      </c>
      <c r="H26" s="51" t="e">
        <v>#N/A</v>
      </c>
    </row>
    <row r="27" s="51" customFormat="1" spans="1:8">
      <c r="A27" s="57" t="s">
        <v>78</v>
      </c>
      <c r="B27" s="58"/>
      <c r="C27" s="57" t="s">
        <v>79</v>
      </c>
      <c r="D27" s="59" t="s">
        <v>57</v>
      </c>
      <c r="E27" s="60" t="str">
        <f ca="1" t="shared" si="0"/>
        <v>B1</v>
      </c>
      <c r="F27" s="51">
        <v>50</v>
      </c>
      <c r="G27" s="51" t="s">
        <v>28</v>
      </c>
      <c r="H27" s="51" t="e">
        <v>#N/A</v>
      </c>
    </row>
    <row r="28" s="51" customFormat="1" spans="1:8">
      <c r="A28" s="57" t="s">
        <v>80</v>
      </c>
      <c r="B28" s="58"/>
      <c r="C28" s="57" t="s">
        <v>81</v>
      </c>
      <c r="D28" s="59" t="s">
        <v>57</v>
      </c>
      <c r="E28" s="60" t="str">
        <f ca="1" t="shared" si="0"/>
        <v>B1</v>
      </c>
      <c r="F28" s="51">
        <v>50</v>
      </c>
      <c r="G28" s="51" t="s">
        <v>28</v>
      </c>
      <c r="H28" s="51">
        <v>0</v>
      </c>
    </row>
    <row r="29" s="51" customFormat="1" spans="1:8">
      <c r="A29" s="57" t="s">
        <v>82</v>
      </c>
      <c r="B29" s="58"/>
      <c r="C29" s="57" t="s">
        <v>83</v>
      </c>
      <c r="D29" s="59" t="s">
        <v>57</v>
      </c>
      <c r="E29" s="60" t="str">
        <f ca="1" t="shared" si="0"/>
        <v>B1</v>
      </c>
      <c r="F29" s="51">
        <v>50</v>
      </c>
      <c r="G29" s="51" t="s">
        <v>28</v>
      </c>
      <c r="H29" s="51" t="e">
        <v>#N/A</v>
      </c>
    </row>
    <row r="30" s="51" customFormat="1" spans="1:8">
      <c r="A30" s="57" t="s">
        <v>84</v>
      </c>
      <c r="B30" s="58"/>
      <c r="C30" s="57" t="s">
        <v>85</v>
      </c>
      <c r="D30" s="59" t="s">
        <v>57</v>
      </c>
      <c r="E30" s="60" t="str">
        <f ca="1" t="shared" si="0"/>
        <v>B1</v>
      </c>
      <c r="F30" s="51">
        <v>50</v>
      </c>
      <c r="G30" s="51" t="s">
        <v>28</v>
      </c>
      <c r="H30" s="51" t="e">
        <v>#N/A</v>
      </c>
    </row>
    <row r="31" s="51" customFormat="1" spans="1:8">
      <c r="A31" s="57" t="s">
        <v>86</v>
      </c>
      <c r="B31" s="58"/>
      <c r="C31" s="57" t="s">
        <v>87</v>
      </c>
      <c r="D31" s="59" t="s">
        <v>57</v>
      </c>
      <c r="E31" s="60" t="str">
        <f ca="1" t="shared" si="0"/>
        <v>B1</v>
      </c>
      <c r="F31" s="51">
        <v>50</v>
      </c>
      <c r="G31" s="51" t="s">
        <v>28</v>
      </c>
      <c r="H31" s="51" t="e">
        <v>#N/A</v>
      </c>
    </row>
    <row r="32" s="51" customFormat="1" spans="1:8">
      <c r="A32" s="57" t="s">
        <v>88</v>
      </c>
      <c r="B32" s="58"/>
      <c r="C32" s="57" t="s">
        <v>89</v>
      </c>
      <c r="D32" s="59" t="s">
        <v>57</v>
      </c>
      <c r="E32" s="60" t="str">
        <f ca="1" t="shared" si="0"/>
        <v>B1</v>
      </c>
      <c r="F32" s="51">
        <v>50</v>
      </c>
      <c r="G32" s="51" t="s">
        <v>28</v>
      </c>
      <c r="H32" s="51">
        <v>0</v>
      </c>
    </row>
    <row r="33" spans="1:8">
      <c r="A33" s="57" t="s">
        <v>90</v>
      </c>
      <c r="B33" s="58"/>
      <c r="C33" s="57" t="s">
        <v>91</v>
      </c>
      <c r="D33" s="59" t="s">
        <v>57</v>
      </c>
      <c r="E33" s="60" t="str">
        <f ca="1" t="shared" si="0"/>
        <v>B1</v>
      </c>
      <c r="F33" s="51">
        <v>50</v>
      </c>
      <c r="G33" s="51" t="s">
        <v>28</v>
      </c>
      <c r="H33" s="51" t="s">
        <v>57</v>
      </c>
    </row>
    <row r="34" spans="1:8">
      <c r="A34" s="57" t="s">
        <v>92</v>
      </c>
      <c r="B34" s="58"/>
      <c r="C34" s="57" t="s">
        <v>93</v>
      </c>
      <c r="D34" s="59" t="s">
        <v>57</v>
      </c>
      <c r="E34" s="60" t="str">
        <f ca="1" t="shared" si="0"/>
        <v>B1</v>
      </c>
      <c r="F34" s="51">
        <v>50</v>
      </c>
      <c r="G34" s="51" t="s">
        <v>28</v>
      </c>
      <c r="H34" s="51">
        <v>2</v>
      </c>
    </row>
    <row r="35" spans="1:8">
      <c r="A35" s="57" t="s">
        <v>94</v>
      </c>
      <c r="B35" s="58"/>
      <c r="C35" s="57" t="s">
        <v>95</v>
      </c>
      <c r="D35" s="59" t="s">
        <v>57</v>
      </c>
      <c r="E35" s="60" t="str">
        <f ca="1" t="shared" si="0"/>
        <v>B1</v>
      </c>
      <c r="F35" s="51">
        <v>50</v>
      </c>
      <c r="G35" s="51" t="s">
        <v>28</v>
      </c>
      <c r="H35" s="51" t="e">
        <v>#N/A</v>
      </c>
    </row>
    <row r="36" spans="1:8">
      <c r="A36" s="57" t="s">
        <v>96</v>
      </c>
      <c r="B36" s="58"/>
      <c r="C36" s="57" t="s">
        <v>97</v>
      </c>
      <c r="D36" s="59" t="s">
        <v>57</v>
      </c>
      <c r="E36" s="60" t="str">
        <f ca="1" t="shared" si="0"/>
        <v>B1</v>
      </c>
      <c r="F36" s="51">
        <v>50</v>
      </c>
      <c r="G36" s="51" t="s">
        <v>28</v>
      </c>
      <c r="H36" s="51" t="e">
        <v>#N/A</v>
      </c>
    </row>
    <row r="37" spans="1:8">
      <c r="A37" s="116" t="s">
        <v>98</v>
      </c>
      <c r="B37" s="58"/>
      <c r="C37" s="57" t="s">
        <v>99</v>
      </c>
      <c r="D37" s="59" t="s">
        <v>57</v>
      </c>
      <c r="E37" s="60" t="str">
        <f ca="1" t="shared" si="0"/>
        <v>B1</v>
      </c>
      <c r="F37" s="51">
        <v>50</v>
      </c>
      <c r="G37" s="51" t="s">
        <v>28</v>
      </c>
      <c r="H37" s="51">
        <v>2</v>
      </c>
    </row>
    <row r="38" s="51" customFormat="1" spans="1:8">
      <c r="A38" s="116" t="s">
        <v>100</v>
      </c>
      <c r="B38" s="58"/>
      <c r="C38" s="57" t="s">
        <v>101</v>
      </c>
      <c r="D38" s="59" t="s">
        <v>57</v>
      </c>
      <c r="E38" s="60" t="str">
        <f ca="1" t="shared" si="0"/>
        <v>B1</v>
      </c>
      <c r="F38" s="51">
        <v>50</v>
      </c>
      <c r="G38" s="51" t="s">
        <v>28</v>
      </c>
      <c r="H38" s="51">
        <v>8</v>
      </c>
    </row>
    <row r="39" s="51" customFormat="1" spans="1:8">
      <c r="A39" s="116" t="s">
        <v>102</v>
      </c>
      <c r="B39" s="58"/>
      <c r="C39" s="57" t="s">
        <v>103</v>
      </c>
      <c r="D39" s="59" t="s">
        <v>57</v>
      </c>
      <c r="E39" s="60" t="str">
        <f ca="1" t="shared" si="0"/>
        <v>B1</v>
      </c>
      <c r="F39" s="51">
        <v>50</v>
      </c>
      <c r="G39" s="51" t="s">
        <v>28</v>
      </c>
      <c r="H39" s="51" t="s">
        <v>57</v>
      </c>
    </row>
    <row r="40" s="51" customFormat="1" spans="1:8">
      <c r="A40" s="116" t="s">
        <v>104</v>
      </c>
      <c r="B40" s="58"/>
      <c r="C40" s="57" t="s">
        <v>105</v>
      </c>
      <c r="D40" s="59" t="s">
        <v>57</v>
      </c>
      <c r="E40" s="60" t="str">
        <f ca="1" t="shared" si="0"/>
        <v>B1</v>
      </c>
      <c r="F40" s="51">
        <v>50</v>
      </c>
      <c r="G40" s="51" t="s">
        <v>28</v>
      </c>
      <c r="H40" s="51" t="e">
        <v>#N/A</v>
      </c>
    </row>
    <row r="41" s="51" customFormat="1" spans="1:8">
      <c r="A41" s="57" t="s">
        <v>106</v>
      </c>
      <c r="B41" s="58"/>
      <c r="C41" s="57" t="s">
        <v>107</v>
      </c>
      <c r="D41" s="59" t="s">
        <v>57</v>
      </c>
      <c r="E41" s="60" t="str">
        <f ca="1" t="shared" si="0"/>
        <v>B1</v>
      </c>
      <c r="F41" s="51">
        <v>50</v>
      </c>
      <c r="G41" s="51" t="s">
        <v>28</v>
      </c>
      <c r="H41" s="51" t="e">
        <v>#N/A</v>
      </c>
    </row>
    <row r="42" s="51" customFormat="1" spans="1:8">
      <c r="A42" s="116" t="s">
        <v>108</v>
      </c>
      <c r="B42" s="58"/>
      <c r="C42" s="57" t="s">
        <v>109</v>
      </c>
      <c r="D42" s="59" t="s">
        <v>57</v>
      </c>
      <c r="E42" s="60" t="str">
        <f ca="1" t="shared" si="0"/>
        <v>B1</v>
      </c>
      <c r="F42" s="51">
        <v>50</v>
      </c>
      <c r="G42" s="51" t="s">
        <v>28</v>
      </c>
      <c r="H42" s="51" t="e">
        <v>#N/A</v>
      </c>
    </row>
    <row r="43" s="51" customFormat="1" spans="1:8">
      <c r="A43" s="57" t="s">
        <v>110</v>
      </c>
      <c r="B43" s="58"/>
      <c r="C43" s="57" t="s">
        <v>111</v>
      </c>
      <c r="D43" s="59" t="s">
        <v>57</v>
      </c>
      <c r="E43" s="60" t="str">
        <f ca="1" t="shared" si="0"/>
        <v>B1</v>
      </c>
      <c r="F43" s="51">
        <v>50</v>
      </c>
      <c r="G43" s="51" t="s">
        <v>28</v>
      </c>
      <c r="H43" s="51">
        <v>4</v>
      </c>
    </row>
    <row r="44" s="51" customFormat="1" spans="1:8">
      <c r="A44" s="57" t="s">
        <v>112</v>
      </c>
      <c r="B44" s="58"/>
      <c r="C44" s="57" t="s">
        <v>113</v>
      </c>
      <c r="D44" s="59" t="s">
        <v>57</v>
      </c>
      <c r="E44" s="60" t="str">
        <f ca="1" t="shared" si="0"/>
        <v>B1</v>
      </c>
      <c r="F44" s="51">
        <v>50</v>
      </c>
      <c r="G44" s="51" t="s">
        <v>28</v>
      </c>
      <c r="H44" s="51" t="e">
        <v>#N/A</v>
      </c>
    </row>
    <row r="45" s="51" customFormat="1" spans="1:8">
      <c r="A45" s="57" t="s">
        <v>114</v>
      </c>
      <c r="B45" s="58"/>
      <c r="C45" s="57" t="s">
        <v>115</v>
      </c>
      <c r="D45" s="59" t="s">
        <v>57</v>
      </c>
      <c r="E45" s="60" t="str">
        <f ca="1" t="shared" si="0"/>
        <v>B1</v>
      </c>
      <c r="F45" s="51">
        <v>50</v>
      </c>
      <c r="G45" s="51" t="s">
        <v>28</v>
      </c>
      <c r="H45" s="51">
        <v>1</v>
      </c>
    </row>
    <row r="46" s="51" customFormat="1" spans="1:8">
      <c r="A46" s="116" t="s">
        <v>116</v>
      </c>
      <c r="B46" s="58"/>
      <c r="C46" s="57" t="s">
        <v>117</v>
      </c>
      <c r="D46" s="59" t="s">
        <v>57</v>
      </c>
      <c r="E46" s="60" t="str">
        <f ca="1" t="shared" si="0"/>
        <v>B1</v>
      </c>
      <c r="F46" s="51">
        <v>50</v>
      </c>
      <c r="G46" s="51" t="s">
        <v>28</v>
      </c>
      <c r="H46" s="51" t="e">
        <v>#N/A</v>
      </c>
    </row>
    <row r="47" s="51" customFormat="1" spans="1:8">
      <c r="A47" s="57" t="s">
        <v>118</v>
      </c>
      <c r="B47" s="58"/>
      <c r="C47" s="57" t="s">
        <v>119</v>
      </c>
      <c r="D47" s="59" t="s">
        <v>57</v>
      </c>
      <c r="E47" s="60" t="str">
        <f ca="1" t="shared" si="0"/>
        <v>B1</v>
      </c>
      <c r="F47" s="51">
        <v>50</v>
      </c>
      <c r="G47" s="51" t="s">
        <v>28</v>
      </c>
      <c r="H47" s="51">
        <v>1</v>
      </c>
    </row>
    <row r="48" s="51" customFormat="1" spans="1:8">
      <c r="A48" s="116" t="s">
        <v>120</v>
      </c>
      <c r="B48" s="58"/>
      <c r="C48" s="57" t="s">
        <v>121</v>
      </c>
      <c r="D48" s="59" t="s">
        <v>57</v>
      </c>
      <c r="E48" s="60" t="str">
        <f ca="1" t="shared" si="0"/>
        <v>B1</v>
      </c>
      <c r="F48" s="51">
        <v>50</v>
      </c>
      <c r="G48" s="51" t="s">
        <v>28</v>
      </c>
      <c r="H48" s="51" t="e">
        <v>#N/A</v>
      </c>
    </row>
    <row r="49" s="51" customFormat="1" spans="1:8">
      <c r="A49" s="116" t="s">
        <v>122</v>
      </c>
      <c r="B49" s="58"/>
      <c r="C49" s="57" t="s">
        <v>123</v>
      </c>
      <c r="D49" s="59" t="s">
        <v>57</v>
      </c>
      <c r="E49" s="60" t="str">
        <f ca="1" t="shared" si="0"/>
        <v>B1</v>
      </c>
      <c r="F49" s="51">
        <v>50</v>
      </c>
      <c r="G49" s="51" t="s">
        <v>28</v>
      </c>
      <c r="H49" s="51">
        <v>4</v>
      </c>
    </row>
    <row r="50" s="51" customFormat="1" spans="1:8">
      <c r="A50" s="116" t="s">
        <v>124</v>
      </c>
      <c r="B50" s="58"/>
      <c r="C50" s="57" t="s">
        <v>125</v>
      </c>
      <c r="D50" s="59" t="s">
        <v>57</v>
      </c>
      <c r="E50" s="60" t="str">
        <f ca="1" t="shared" si="0"/>
        <v>B1</v>
      </c>
      <c r="F50" s="51">
        <v>50</v>
      </c>
      <c r="G50" s="51" t="s">
        <v>28</v>
      </c>
      <c r="H50" s="51">
        <v>2</v>
      </c>
    </row>
    <row r="51" s="51" customFormat="1" spans="1:8">
      <c r="A51" s="116" t="s">
        <v>126</v>
      </c>
      <c r="B51" s="58"/>
      <c r="C51" s="57" t="s">
        <v>127</v>
      </c>
      <c r="D51" s="59" t="s">
        <v>57</v>
      </c>
      <c r="E51" s="60" t="str">
        <f ca="1" t="shared" si="0"/>
        <v>B1</v>
      </c>
      <c r="F51" s="51">
        <v>50</v>
      </c>
      <c r="G51" s="51" t="s">
        <v>28</v>
      </c>
      <c r="H51" s="51" t="e">
        <v>#N/A</v>
      </c>
    </row>
    <row r="52" s="51" customFormat="1" spans="1:8">
      <c r="A52" s="116" t="s">
        <v>128</v>
      </c>
      <c r="B52" s="58"/>
      <c r="C52" s="57" t="s">
        <v>129</v>
      </c>
      <c r="D52" s="59" t="s">
        <v>57</v>
      </c>
      <c r="E52" s="60" t="str">
        <f ca="1" t="shared" si="0"/>
        <v>B1</v>
      </c>
      <c r="F52" s="51">
        <v>50</v>
      </c>
      <c r="G52" s="51" t="s">
        <v>28</v>
      </c>
      <c r="H52" s="51">
        <v>1</v>
      </c>
    </row>
    <row r="53" s="51" customFormat="1" spans="1:8">
      <c r="A53" s="116" t="s">
        <v>130</v>
      </c>
      <c r="B53" s="58"/>
      <c r="C53" s="57" t="s">
        <v>131</v>
      </c>
      <c r="D53" s="59" t="s">
        <v>57</v>
      </c>
      <c r="E53" s="60" t="str">
        <f ca="1" t="shared" si="0"/>
        <v>B1</v>
      </c>
      <c r="F53" s="51">
        <v>50</v>
      </c>
      <c r="G53" s="51" t="s">
        <v>28</v>
      </c>
      <c r="H53" s="51">
        <v>1</v>
      </c>
    </row>
    <row r="54" s="51" customFormat="1" spans="1:8">
      <c r="A54" s="57" t="s">
        <v>132</v>
      </c>
      <c r="B54" s="58"/>
      <c r="C54" s="57" t="s">
        <v>133</v>
      </c>
      <c r="D54" s="59" t="s">
        <v>57</v>
      </c>
      <c r="E54" s="60" t="str">
        <f ca="1" t="shared" si="0"/>
        <v>B1</v>
      </c>
      <c r="F54" s="51">
        <v>50</v>
      </c>
      <c r="G54" s="51" t="s">
        <v>28</v>
      </c>
      <c r="H54" s="51" t="e">
        <v>#N/A</v>
      </c>
    </row>
    <row r="55" s="51" customFormat="1" spans="1:8">
      <c r="A55" s="116" t="s">
        <v>134</v>
      </c>
      <c r="B55" s="58"/>
      <c r="C55" s="57" t="s">
        <v>135</v>
      </c>
      <c r="D55" s="59" t="s">
        <v>57</v>
      </c>
      <c r="E55" s="60" t="str">
        <f ca="1" t="shared" si="0"/>
        <v>B1</v>
      </c>
      <c r="F55" s="51">
        <v>50</v>
      </c>
      <c r="G55" s="51" t="s">
        <v>28</v>
      </c>
      <c r="H55" s="51">
        <v>2</v>
      </c>
    </row>
    <row r="56" s="51" customFormat="1" spans="1:8">
      <c r="A56" s="57" t="s">
        <v>136</v>
      </c>
      <c r="B56" s="58"/>
      <c r="C56" s="57" t="s">
        <v>137</v>
      </c>
      <c r="D56" s="59" t="s">
        <v>57</v>
      </c>
      <c r="E56" s="60" t="str">
        <f ca="1" t="shared" si="0"/>
        <v>B1</v>
      </c>
      <c r="F56" s="51">
        <v>50</v>
      </c>
      <c r="G56" s="51" t="s">
        <v>28</v>
      </c>
      <c r="H56" s="51" t="e">
        <v>#N/A</v>
      </c>
    </row>
    <row r="57" s="51" customFormat="1" spans="1:8">
      <c r="A57" s="57" t="s">
        <v>138</v>
      </c>
      <c r="B57" s="58"/>
      <c r="C57" s="57" t="s">
        <v>139</v>
      </c>
      <c r="D57" s="59" t="s">
        <v>57</v>
      </c>
      <c r="E57" s="60" t="str">
        <f ca="1" t="shared" si="0"/>
        <v>B1</v>
      </c>
      <c r="F57" s="51">
        <v>50</v>
      </c>
      <c r="G57" s="51" t="s">
        <v>28</v>
      </c>
      <c r="H57" s="51">
        <v>2</v>
      </c>
    </row>
    <row r="58" s="51" customFormat="1" spans="1:8">
      <c r="A58" s="57" t="s">
        <v>140</v>
      </c>
      <c r="B58" s="58"/>
      <c r="C58" s="57" t="s">
        <v>141</v>
      </c>
      <c r="D58" s="59" t="s">
        <v>57</v>
      </c>
      <c r="E58" s="60" t="str">
        <f ca="1" t="shared" si="0"/>
        <v>B1</v>
      </c>
      <c r="F58" s="51">
        <v>50</v>
      </c>
      <c r="G58" s="51" t="s">
        <v>28</v>
      </c>
      <c r="H58" s="51">
        <v>2</v>
      </c>
    </row>
    <row r="59" s="51" customFormat="1" spans="1:8">
      <c r="A59" s="57" t="s">
        <v>142</v>
      </c>
      <c r="B59" s="58"/>
      <c r="C59" s="57" t="s">
        <v>143</v>
      </c>
      <c r="D59" s="59" t="s">
        <v>57</v>
      </c>
      <c r="E59" s="60" t="str">
        <f ca="1" t="shared" si="0"/>
        <v>B1</v>
      </c>
      <c r="F59" s="51">
        <v>50</v>
      </c>
      <c r="G59" s="51" t="s">
        <v>28</v>
      </c>
      <c r="H59" s="51" t="e">
        <v>#N/A</v>
      </c>
    </row>
    <row r="60" s="51" customFormat="1" spans="1:8">
      <c r="A60" s="116" t="s">
        <v>144</v>
      </c>
      <c r="B60" s="58"/>
      <c r="C60" s="57" t="s">
        <v>145</v>
      </c>
      <c r="D60" s="59" t="s">
        <v>57</v>
      </c>
      <c r="E60" s="60" t="str">
        <f ca="1" t="shared" si="0"/>
        <v>B1</v>
      </c>
      <c r="F60" s="51">
        <v>50</v>
      </c>
      <c r="G60" s="51" t="s">
        <v>28</v>
      </c>
      <c r="H60" s="51">
        <v>1</v>
      </c>
    </row>
    <row r="61" s="51" customFormat="1" spans="1:8">
      <c r="A61" s="57" t="s">
        <v>146</v>
      </c>
      <c r="B61" s="58"/>
      <c r="C61" s="57" t="s">
        <v>147</v>
      </c>
      <c r="D61" s="59" t="s">
        <v>57</v>
      </c>
      <c r="E61" s="60" t="str">
        <f ca="1" t="shared" si="0"/>
        <v>B1</v>
      </c>
      <c r="F61" s="51">
        <v>50</v>
      </c>
      <c r="G61" s="51" t="s">
        <v>28</v>
      </c>
      <c r="H61" s="51">
        <v>0</v>
      </c>
    </row>
    <row r="62" s="51" customFormat="1" spans="1:8">
      <c r="A62" s="57" t="s">
        <v>148</v>
      </c>
      <c r="B62" s="58"/>
      <c r="C62" s="57" t="s">
        <v>149</v>
      </c>
      <c r="D62" s="59" t="s">
        <v>57</v>
      </c>
      <c r="E62" s="60" t="str">
        <f ca="1" t="shared" si="0"/>
        <v>B1</v>
      </c>
      <c r="F62" s="51">
        <v>50</v>
      </c>
      <c r="G62" s="51" t="s">
        <v>28</v>
      </c>
      <c r="H62" s="51">
        <v>4</v>
      </c>
    </row>
    <row r="63" s="51" customFormat="1" spans="1:8">
      <c r="A63" s="57" t="s">
        <v>150</v>
      </c>
      <c r="B63" s="58"/>
      <c r="C63" s="57" t="s">
        <v>151</v>
      </c>
      <c r="D63" s="59" t="s">
        <v>57</v>
      </c>
      <c r="E63" s="60" t="str">
        <f ca="1" t="shared" si="0"/>
        <v>B1</v>
      </c>
      <c r="F63" s="51">
        <v>50</v>
      </c>
      <c r="G63" s="51" t="s">
        <v>28</v>
      </c>
      <c r="H63" s="51">
        <v>0</v>
      </c>
    </row>
    <row r="64" s="51" customFormat="1" spans="1:8">
      <c r="A64" s="57" t="s">
        <v>152</v>
      </c>
      <c r="B64" s="58"/>
      <c r="C64" s="57" t="s">
        <v>153</v>
      </c>
      <c r="D64" s="59" t="s">
        <v>57</v>
      </c>
      <c r="E64" s="60" t="str">
        <f ca="1" t="shared" si="0"/>
        <v>B1</v>
      </c>
      <c r="F64" s="51">
        <v>50</v>
      </c>
      <c r="G64" s="51" t="s">
        <v>28</v>
      </c>
      <c r="H64" s="51" t="e">
        <v>#N/A</v>
      </c>
    </row>
    <row r="65" s="51" customFormat="1" spans="1:8">
      <c r="A65" s="57" t="s">
        <v>154</v>
      </c>
      <c r="B65" s="58"/>
      <c r="C65" s="57" t="s">
        <v>155</v>
      </c>
      <c r="D65" s="59" t="s">
        <v>57</v>
      </c>
      <c r="E65" s="60" t="str">
        <f ca="1" t="shared" si="0"/>
        <v>B1</v>
      </c>
      <c r="F65" s="51">
        <v>50</v>
      </c>
      <c r="G65" s="51" t="s">
        <v>28</v>
      </c>
      <c r="H65" s="51" t="e">
        <v>#N/A</v>
      </c>
    </row>
    <row r="66" s="51" customFormat="1" spans="1:8">
      <c r="A66" s="57" t="s">
        <v>156</v>
      </c>
      <c r="B66" s="58"/>
      <c r="C66" s="57" t="s">
        <v>157</v>
      </c>
      <c r="D66" s="59" t="s">
        <v>57</v>
      </c>
      <c r="E66" s="60" t="str">
        <f ca="1" t="shared" si="0"/>
        <v>B2</v>
      </c>
      <c r="F66" s="51">
        <v>50</v>
      </c>
      <c r="G66" s="51" t="s">
        <v>28</v>
      </c>
      <c r="H66" s="51" t="e">
        <v>#N/A</v>
      </c>
    </row>
    <row r="67" s="51" customFormat="1" spans="1:8">
      <c r="A67" s="57" t="s">
        <v>158</v>
      </c>
      <c r="B67" s="58"/>
      <c r="C67" s="57" t="s">
        <v>159</v>
      </c>
      <c r="D67" s="59" t="s">
        <v>57</v>
      </c>
      <c r="E67" s="60" t="str">
        <f ca="1" t="shared" ref="E67:E130" si="1">LEFT(A67,2)</f>
        <v>B2</v>
      </c>
      <c r="F67" s="51">
        <v>50</v>
      </c>
      <c r="G67" s="51" t="s">
        <v>28</v>
      </c>
      <c r="H67" s="51" t="e">
        <v>#N/A</v>
      </c>
    </row>
    <row r="68" s="51" customFormat="1" spans="1:8">
      <c r="A68" s="116" t="s">
        <v>160</v>
      </c>
      <c r="B68" s="58"/>
      <c r="C68" s="57" t="s">
        <v>161</v>
      </c>
      <c r="D68" s="59" t="s">
        <v>57</v>
      </c>
      <c r="E68" s="60" t="str">
        <f ca="1" t="shared" si="1"/>
        <v>B2</v>
      </c>
      <c r="F68" s="51">
        <v>50</v>
      </c>
      <c r="G68" s="51" t="s">
        <v>28</v>
      </c>
      <c r="H68" s="51" t="e">
        <v>#N/A</v>
      </c>
    </row>
    <row r="69" s="51" customFormat="1" spans="1:8">
      <c r="A69" s="116" t="s">
        <v>162</v>
      </c>
      <c r="B69" s="58"/>
      <c r="C69" s="57" t="s">
        <v>163</v>
      </c>
      <c r="D69" s="59" t="s">
        <v>57</v>
      </c>
      <c r="E69" s="60" t="str">
        <f ca="1" t="shared" si="1"/>
        <v>B2</v>
      </c>
      <c r="F69" s="51">
        <v>50</v>
      </c>
      <c r="G69" s="51" t="s">
        <v>28</v>
      </c>
      <c r="H69" s="51">
        <v>1</v>
      </c>
    </row>
    <row r="70" s="51" customFormat="1" spans="1:8">
      <c r="A70" s="57" t="s">
        <v>164</v>
      </c>
      <c r="B70" s="58" t="s">
        <v>165</v>
      </c>
      <c r="C70" s="57" t="s">
        <v>166</v>
      </c>
      <c r="D70" s="59" t="s">
        <v>57</v>
      </c>
      <c r="E70" s="60" t="str">
        <f ca="1" t="shared" si="1"/>
        <v>B2</v>
      </c>
      <c r="F70" s="51">
        <v>50</v>
      </c>
      <c r="G70" s="51" t="s">
        <v>28</v>
      </c>
      <c r="H70" s="51">
        <v>1</v>
      </c>
    </row>
    <row r="71" s="51" customFormat="1" spans="1:8">
      <c r="A71" s="57" t="s">
        <v>167</v>
      </c>
      <c r="B71" s="58"/>
      <c r="C71" s="57" t="s">
        <v>168</v>
      </c>
      <c r="D71" s="59" t="s">
        <v>57</v>
      </c>
      <c r="E71" s="60" t="str">
        <f ca="1" t="shared" si="1"/>
        <v>B2</v>
      </c>
      <c r="F71" s="51">
        <v>50</v>
      </c>
      <c r="G71" s="51" t="s">
        <v>28</v>
      </c>
      <c r="H71" s="51">
        <v>1</v>
      </c>
    </row>
    <row r="72" s="51" customFormat="1" spans="1:8">
      <c r="A72" s="57" t="s">
        <v>169</v>
      </c>
      <c r="B72" s="58"/>
      <c r="C72" s="57" t="s">
        <v>170</v>
      </c>
      <c r="D72" s="59" t="s">
        <v>57</v>
      </c>
      <c r="E72" s="60" t="str">
        <f ca="1" t="shared" si="1"/>
        <v>B2</v>
      </c>
      <c r="F72" s="51">
        <v>50</v>
      </c>
      <c r="G72" s="51" t="s">
        <v>28</v>
      </c>
      <c r="H72" s="51">
        <v>1</v>
      </c>
    </row>
    <row r="73" s="51" customFormat="1" spans="1:8">
      <c r="A73" s="57" t="s">
        <v>171</v>
      </c>
      <c r="B73" s="58"/>
      <c r="C73" s="57" t="s">
        <v>172</v>
      </c>
      <c r="D73" s="59" t="s">
        <v>57</v>
      </c>
      <c r="E73" s="60" t="str">
        <f ca="1" t="shared" si="1"/>
        <v>B2</v>
      </c>
      <c r="F73" s="51">
        <v>50</v>
      </c>
      <c r="G73" s="51" t="s">
        <v>28</v>
      </c>
      <c r="H73" s="51">
        <v>2</v>
      </c>
    </row>
    <row r="74" s="51" customFormat="1" spans="1:8">
      <c r="A74" s="57" t="s">
        <v>173</v>
      </c>
      <c r="B74" s="58"/>
      <c r="C74" s="57" t="s">
        <v>174</v>
      </c>
      <c r="D74" s="59" t="s">
        <v>57</v>
      </c>
      <c r="E74" s="60" t="str">
        <f ca="1" t="shared" si="1"/>
        <v>B2</v>
      </c>
      <c r="F74" s="51">
        <v>50</v>
      </c>
      <c r="G74" s="51" t="s">
        <v>28</v>
      </c>
      <c r="H74" s="51">
        <v>1</v>
      </c>
    </row>
    <row r="75" s="51" customFormat="1" spans="1:8">
      <c r="A75" s="57" t="s">
        <v>175</v>
      </c>
      <c r="B75" s="58"/>
      <c r="C75" s="57" t="s">
        <v>176</v>
      </c>
      <c r="D75" s="59" t="s">
        <v>57</v>
      </c>
      <c r="E75" s="60" t="str">
        <f ca="1" t="shared" si="1"/>
        <v>B2</v>
      </c>
      <c r="F75" s="51">
        <v>50</v>
      </c>
      <c r="G75" s="51" t="s">
        <v>28</v>
      </c>
      <c r="H75" s="51">
        <v>1</v>
      </c>
    </row>
    <row r="76" s="51" customFormat="1" spans="1:8">
      <c r="A76" s="57" t="s">
        <v>177</v>
      </c>
      <c r="B76" s="58"/>
      <c r="C76" s="57" t="s">
        <v>178</v>
      </c>
      <c r="D76" s="59" t="s">
        <v>57</v>
      </c>
      <c r="E76" s="60" t="str">
        <f ca="1" t="shared" si="1"/>
        <v>B2</v>
      </c>
      <c r="F76" s="51">
        <v>50</v>
      </c>
      <c r="G76" s="51" t="s">
        <v>28</v>
      </c>
      <c r="H76" s="51" t="e">
        <v>#N/A</v>
      </c>
    </row>
    <row r="77" s="51" customFormat="1" spans="1:8">
      <c r="A77" s="57" t="s">
        <v>179</v>
      </c>
      <c r="B77" s="58"/>
      <c r="C77" s="57" t="s">
        <v>180</v>
      </c>
      <c r="D77" s="59" t="s">
        <v>57</v>
      </c>
      <c r="E77" s="60" t="str">
        <f ca="1" t="shared" si="1"/>
        <v>B2</v>
      </c>
      <c r="F77" s="51">
        <v>50</v>
      </c>
      <c r="G77" s="51" t="s">
        <v>28</v>
      </c>
      <c r="H77" s="51" t="e">
        <v>#N/A</v>
      </c>
    </row>
    <row r="78" spans="1:8">
      <c r="A78" s="57" t="s">
        <v>181</v>
      </c>
      <c r="B78" s="58"/>
      <c r="C78" s="57" t="s">
        <v>182</v>
      </c>
      <c r="D78" s="59" t="s">
        <v>57</v>
      </c>
      <c r="E78" s="60" t="str">
        <f ca="1" t="shared" si="1"/>
        <v>B3</v>
      </c>
      <c r="F78" s="51">
        <v>50</v>
      </c>
      <c r="G78" s="51" t="s">
        <v>28</v>
      </c>
      <c r="H78" s="51" t="e">
        <v>#N/A</v>
      </c>
    </row>
    <row r="79" spans="1:8">
      <c r="A79" s="57" t="s">
        <v>183</v>
      </c>
      <c r="B79" s="58"/>
      <c r="C79" s="57" t="s">
        <v>184</v>
      </c>
      <c r="D79" s="59" t="s">
        <v>57</v>
      </c>
      <c r="E79" s="60" t="str">
        <f ca="1" t="shared" si="1"/>
        <v>B3</v>
      </c>
      <c r="F79" s="51">
        <v>50</v>
      </c>
      <c r="G79" s="51" t="s">
        <v>28</v>
      </c>
      <c r="H79" s="51" t="e">
        <v>#N/A</v>
      </c>
    </row>
    <row r="80" spans="1:8">
      <c r="A80" s="57" t="s">
        <v>185</v>
      </c>
      <c r="B80" s="58"/>
      <c r="C80" s="57" t="s">
        <v>186</v>
      </c>
      <c r="D80" s="59" t="s">
        <v>57</v>
      </c>
      <c r="E80" s="60" t="str">
        <f ca="1" t="shared" si="1"/>
        <v>BM</v>
      </c>
      <c r="F80" s="51">
        <v>50</v>
      </c>
      <c r="G80" s="51" t="s">
        <v>28</v>
      </c>
      <c r="H80" s="51" t="e">
        <v>#N/A</v>
      </c>
    </row>
    <row r="81" spans="1:8">
      <c r="A81" s="57" t="s">
        <v>187</v>
      </c>
      <c r="B81" s="58"/>
      <c r="C81" s="57" t="s">
        <v>188</v>
      </c>
      <c r="D81" s="59" t="s">
        <v>57</v>
      </c>
      <c r="E81" s="60" t="str">
        <f ca="1" t="shared" si="1"/>
        <v>BM</v>
      </c>
      <c r="F81" s="51">
        <v>50</v>
      </c>
      <c r="G81" s="51" t="s">
        <v>28</v>
      </c>
      <c r="H81" s="51">
        <v>1</v>
      </c>
    </row>
    <row r="82" spans="1:8">
      <c r="A82" s="57" t="s">
        <v>189</v>
      </c>
      <c r="B82" s="58"/>
      <c r="C82" s="57" t="s">
        <v>190</v>
      </c>
      <c r="D82" s="59" t="s">
        <v>57</v>
      </c>
      <c r="E82" s="60" t="str">
        <f ca="1" t="shared" si="1"/>
        <v>BM</v>
      </c>
      <c r="F82" s="51">
        <v>50</v>
      </c>
      <c r="G82" s="51" t="s">
        <v>28</v>
      </c>
      <c r="H82" s="51">
        <v>1</v>
      </c>
    </row>
    <row r="83" s="51" customFormat="1" spans="1:8">
      <c r="A83" s="57" t="s">
        <v>191</v>
      </c>
      <c r="B83" s="58"/>
      <c r="C83" s="57" t="s">
        <v>192</v>
      </c>
      <c r="D83" s="59" t="s">
        <v>57</v>
      </c>
      <c r="E83" s="60" t="str">
        <f ca="1" t="shared" si="1"/>
        <v>BM</v>
      </c>
      <c r="F83" s="51">
        <v>50</v>
      </c>
      <c r="G83" s="51" t="s">
        <v>28</v>
      </c>
      <c r="H83" s="51">
        <v>0</v>
      </c>
    </row>
    <row r="84" s="51" customFormat="1" spans="1:8">
      <c r="A84" s="57" t="s">
        <v>193</v>
      </c>
      <c r="B84" s="58"/>
      <c r="C84" s="57" t="s">
        <v>194</v>
      </c>
      <c r="D84" s="59" t="s">
        <v>57</v>
      </c>
      <c r="E84" s="60" t="str">
        <f ca="1" t="shared" si="1"/>
        <v>BM</v>
      </c>
      <c r="F84" s="51">
        <v>50</v>
      </c>
      <c r="G84" s="51" t="s">
        <v>28</v>
      </c>
      <c r="H84" s="51">
        <v>0</v>
      </c>
    </row>
    <row r="85" spans="1:8">
      <c r="A85" s="61" t="s">
        <v>195</v>
      </c>
      <c r="B85" s="58"/>
      <c r="C85" s="57" t="s">
        <v>196</v>
      </c>
      <c r="D85" s="59" t="s">
        <v>57</v>
      </c>
      <c r="E85" s="60" t="str">
        <f ca="1" t="shared" si="1"/>
        <v>Bu</v>
      </c>
      <c r="F85" s="51">
        <v>50</v>
      </c>
      <c r="G85" s="51" t="s">
        <v>28</v>
      </c>
      <c r="H85" s="51">
        <v>0</v>
      </c>
    </row>
    <row r="86" s="51" customFormat="1" spans="1:8">
      <c r="A86" s="57" t="s">
        <v>197</v>
      </c>
      <c r="B86" s="58"/>
      <c r="C86" s="57" t="s">
        <v>198</v>
      </c>
      <c r="D86" s="59" t="s">
        <v>27</v>
      </c>
      <c r="E86" s="60" t="str">
        <f ca="1" t="shared" si="1"/>
        <v>LD</v>
      </c>
      <c r="F86" s="51">
        <v>50</v>
      </c>
      <c r="G86" s="51" t="s">
        <v>28</v>
      </c>
      <c r="H86" s="51" t="e">
        <v>#N/A</v>
      </c>
    </row>
    <row r="87" s="51" customFormat="1" spans="1:8">
      <c r="A87" s="57" t="s">
        <v>199</v>
      </c>
      <c r="B87" s="58"/>
      <c r="C87" s="57" t="s">
        <v>200</v>
      </c>
      <c r="D87" s="59" t="s">
        <v>27</v>
      </c>
      <c r="E87" s="60" t="str">
        <f ca="1" t="shared" si="1"/>
        <v>LD</v>
      </c>
      <c r="F87" s="51">
        <v>50</v>
      </c>
      <c r="G87" s="51" t="s">
        <v>28</v>
      </c>
      <c r="H87" s="51" t="e">
        <v>#N/A</v>
      </c>
    </row>
    <row r="88" s="51" customFormat="1" spans="1:8">
      <c r="A88" s="57" t="s">
        <v>201</v>
      </c>
      <c r="B88" s="58"/>
      <c r="C88" s="57" t="s">
        <v>202</v>
      </c>
      <c r="D88" s="59" t="s">
        <v>27</v>
      </c>
      <c r="E88" s="60" t="str">
        <f ca="1" t="shared" si="1"/>
        <v>LD</v>
      </c>
      <c r="F88" s="51">
        <v>50</v>
      </c>
      <c r="G88" s="51" t="s">
        <v>28</v>
      </c>
      <c r="H88" s="51" t="e">
        <v>#N/A</v>
      </c>
    </row>
    <row r="89" spans="1:8">
      <c r="A89" s="57" t="s">
        <v>203</v>
      </c>
      <c r="B89" s="58"/>
      <c r="C89" s="57" t="s">
        <v>204</v>
      </c>
      <c r="D89" s="62" t="s">
        <v>205</v>
      </c>
      <c r="E89" s="60" t="str">
        <f ca="1" t="shared" si="1"/>
        <v>BA</v>
      </c>
      <c r="F89" s="51">
        <v>50</v>
      </c>
      <c r="G89" s="51" t="s">
        <v>28</v>
      </c>
      <c r="H89" s="51">
        <v>0</v>
      </c>
    </row>
    <row r="90" spans="1:8">
      <c r="A90" s="57" t="s">
        <v>206</v>
      </c>
      <c r="B90" s="58"/>
      <c r="C90" s="57" t="s">
        <v>207</v>
      </c>
      <c r="D90" s="62" t="s">
        <v>205</v>
      </c>
      <c r="E90" s="60" t="str">
        <f ca="1" t="shared" si="1"/>
        <v>BA</v>
      </c>
      <c r="F90" s="51">
        <v>50</v>
      </c>
      <c r="G90" s="51" t="s">
        <v>28</v>
      </c>
      <c r="H90" s="51">
        <v>0</v>
      </c>
    </row>
    <row r="91" spans="1:8">
      <c r="A91" s="57" t="s">
        <v>208</v>
      </c>
      <c r="B91" s="58"/>
      <c r="C91" s="57" t="s">
        <v>209</v>
      </c>
      <c r="D91" s="59" t="s">
        <v>57</v>
      </c>
      <c r="E91" s="60" t="str">
        <f ca="1" t="shared" si="1"/>
        <v>BA</v>
      </c>
      <c r="F91" s="51">
        <v>50</v>
      </c>
      <c r="G91" s="51" t="s">
        <v>28</v>
      </c>
      <c r="H91" s="51" t="s">
        <v>57</v>
      </c>
    </row>
    <row r="92" spans="1:8">
      <c r="A92" s="57" t="s">
        <v>210</v>
      </c>
      <c r="B92" s="58" t="s">
        <v>211</v>
      </c>
      <c r="C92" s="57" t="s">
        <v>212</v>
      </c>
      <c r="D92" s="59" t="s">
        <v>213</v>
      </c>
      <c r="E92" s="60" t="str">
        <f ca="1" t="shared" si="1"/>
        <v>CT</v>
      </c>
      <c r="F92" s="51">
        <v>50</v>
      </c>
      <c r="G92" s="51" t="s">
        <v>28</v>
      </c>
      <c r="H92" s="51">
        <v>36</v>
      </c>
    </row>
    <row r="93" spans="1:8">
      <c r="A93" s="57" t="s">
        <v>214</v>
      </c>
      <c r="B93" s="58" t="s">
        <v>211</v>
      </c>
      <c r="C93" s="57" t="s">
        <v>215</v>
      </c>
      <c r="D93" s="59" t="s">
        <v>213</v>
      </c>
      <c r="E93" s="60" t="str">
        <f ca="1" t="shared" si="1"/>
        <v>CT</v>
      </c>
      <c r="F93" s="51">
        <v>50</v>
      </c>
      <c r="G93" s="51" t="s">
        <v>28</v>
      </c>
      <c r="H93" s="51" t="e">
        <v>#N/A</v>
      </c>
    </row>
    <row r="94" spans="1:8">
      <c r="A94" s="57" t="s">
        <v>216</v>
      </c>
      <c r="B94" s="58" t="s">
        <v>211</v>
      </c>
      <c r="C94" s="57" t="s">
        <v>217</v>
      </c>
      <c r="D94" s="59" t="s">
        <v>27</v>
      </c>
      <c r="E94" s="60" t="str">
        <f ca="1" t="shared" si="1"/>
        <v>co</v>
      </c>
      <c r="F94" s="51">
        <v>50</v>
      </c>
      <c r="G94" s="51" t="s">
        <v>28</v>
      </c>
      <c r="H94" s="51">
        <v>2</v>
      </c>
    </row>
    <row r="95" spans="1:8">
      <c r="A95" s="57" t="s">
        <v>218</v>
      </c>
      <c r="B95" s="58" t="s">
        <v>211</v>
      </c>
      <c r="C95" s="57" t="s">
        <v>219</v>
      </c>
      <c r="D95" s="59" t="s">
        <v>27</v>
      </c>
      <c r="E95" s="60" t="str">
        <f ca="1" t="shared" si="1"/>
        <v>co</v>
      </c>
      <c r="F95" s="51">
        <v>50</v>
      </c>
      <c r="G95" s="51" t="s">
        <v>28</v>
      </c>
      <c r="H95" s="51">
        <v>1</v>
      </c>
    </row>
    <row r="96" spans="1:8">
      <c r="A96" s="57" t="s">
        <v>220</v>
      </c>
      <c r="B96" s="58" t="s">
        <v>211</v>
      </c>
      <c r="C96" s="57" t="s">
        <v>221</v>
      </c>
      <c r="D96" s="59" t="s">
        <v>213</v>
      </c>
      <c r="E96" s="60" t="str">
        <f ca="1" t="shared" si="1"/>
        <v>CT</v>
      </c>
      <c r="F96" s="51">
        <v>50</v>
      </c>
      <c r="G96" s="51" t="s">
        <v>28</v>
      </c>
      <c r="H96" s="51">
        <v>42</v>
      </c>
    </row>
    <row r="97" spans="1:8">
      <c r="A97" s="57" t="s">
        <v>222</v>
      </c>
      <c r="B97" s="58"/>
      <c r="C97" s="57" t="s">
        <v>223</v>
      </c>
      <c r="D97" s="59" t="s">
        <v>224</v>
      </c>
      <c r="E97" s="60" t="str">
        <f ca="1" t="shared" si="1"/>
        <v>Mo</v>
      </c>
      <c r="F97" s="51">
        <v>50</v>
      </c>
      <c r="G97" s="51" t="s">
        <v>28</v>
      </c>
      <c r="H97" s="51" t="s">
        <v>224</v>
      </c>
    </row>
    <row r="98" spans="1:8">
      <c r="A98" s="116" t="s">
        <v>225</v>
      </c>
      <c r="B98" s="58"/>
      <c r="C98" s="57" t="s">
        <v>226</v>
      </c>
      <c r="D98" s="59" t="s">
        <v>227</v>
      </c>
      <c r="E98" s="60" t="str">
        <f ca="1" t="shared" si="1"/>
        <v>M1</v>
      </c>
      <c r="F98" s="51">
        <v>12</v>
      </c>
      <c r="G98" s="51" t="s">
        <v>28</v>
      </c>
      <c r="H98" s="51" t="e">
        <v>#N/A</v>
      </c>
    </row>
    <row r="99" spans="1:8">
      <c r="A99" s="116" t="s">
        <v>228</v>
      </c>
      <c r="B99" s="58"/>
      <c r="C99" s="57" t="s">
        <v>229</v>
      </c>
      <c r="D99" s="59" t="s">
        <v>227</v>
      </c>
      <c r="E99" s="60" t="str">
        <f ca="1" t="shared" si="1"/>
        <v>M2</v>
      </c>
      <c r="F99" s="51">
        <v>12</v>
      </c>
      <c r="G99" s="51" t="s">
        <v>28</v>
      </c>
      <c r="H99" s="51" t="e">
        <v>#N/A</v>
      </c>
    </row>
    <row r="100" spans="1:8">
      <c r="A100" s="116" t="s">
        <v>230</v>
      </c>
      <c r="B100" s="58"/>
      <c r="C100" s="57" t="s">
        <v>231</v>
      </c>
      <c r="D100" s="59" t="s">
        <v>227</v>
      </c>
      <c r="E100" s="60" t="str">
        <f ca="1" t="shared" si="1"/>
        <v>M2</v>
      </c>
      <c r="F100" s="51">
        <v>12</v>
      </c>
      <c r="G100" s="51" t="s">
        <v>28</v>
      </c>
      <c r="H100" s="51">
        <v>3.36</v>
      </c>
    </row>
    <row r="101" spans="1:8">
      <c r="A101" s="116" t="s">
        <v>232</v>
      </c>
      <c r="B101" s="58"/>
      <c r="C101" s="57" t="s">
        <v>233</v>
      </c>
      <c r="D101" s="59" t="s">
        <v>227</v>
      </c>
      <c r="E101" s="60" t="str">
        <f ca="1" t="shared" si="1"/>
        <v>M3</v>
      </c>
      <c r="F101" s="51">
        <v>12</v>
      </c>
      <c r="G101" s="51" t="s">
        <v>28</v>
      </c>
      <c r="H101" s="51">
        <v>0</v>
      </c>
    </row>
    <row r="102" spans="1:8">
      <c r="A102" s="57" t="s">
        <v>234</v>
      </c>
      <c r="B102" s="58"/>
      <c r="C102" s="57" t="s">
        <v>235</v>
      </c>
      <c r="D102" s="59" t="s">
        <v>236</v>
      </c>
      <c r="E102" s="60" t="str">
        <f ca="1" t="shared" si="1"/>
        <v>MT</v>
      </c>
      <c r="F102" s="51">
        <v>50</v>
      </c>
      <c r="G102" s="51" t="s">
        <v>28</v>
      </c>
      <c r="H102" s="51" t="s">
        <v>236</v>
      </c>
    </row>
    <row r="103" s="51" customFormat="1" spans="1:8">
      <c r="A103" s="116" t="s">
        <v>237</v>
      </c>
      <c r="B103" s="58"/>
      <c r="C103" s="57" t="s">
        <v>238</v>
      </c>
      <c r="D103" s="59" t="s">
        <v>227</v>
      </c>
      <c r="E103" s="60" t="str">
        <f ca="1" t="shared" si="1"/>
        <v>M5</v>
      </c>
      <c r="F103" s="51">
        <v>12</v>
      </c>
      <c r="G103" s="51" t="s">
        <v>28</v>
      </c>
      <c r="H103" s="51" t="e">
        <v>#N/A</v>
      </c>
    </row>
    <row r="104" s="51" customFormat="1" spans="1:8">
      <c r="A104" s="57" t="s">
        <v>239</v>
      </c>
      <c r="B104" s="58"/>
      <c r="C104" s="57" t="s">
        <v>240</v>
      </c>
      <c r="D104" s="59" t="s">
        <v>241</v>
      </c>
      <c r="E104" s="60" t="str">
        <f ca="1" t="shared" si="1"/>
        <v>XL</v>
      </c>
      <c r="F104" s="51">
        <v>10</v>
      </c>
      <c r="G104" s="51" t="s">
        <v>28</v>
      </c>
      <c r="H104" s="51" t="e">
        <v>#N/A</v>
      </c>
    </row>
    <row r="105" s="51" customFormat="1" spans="1:8">
      <c r="A105" s="57" t="s">
        <v>242</v>
      </c>
      <c r="B105" s="58"/>
      <c r="C105" s="57" t="s">
        <v>243</v>
      </c>
      <c r="D105" s="59" t="s">
        <v>241</v>
      </c>
      <c r="E105" s="60" t="str">
        <f ca="1" t="shared" si="1"/>
        <v>XL</v>
      </c>
      <c r="F105" s="51">
        <v>10</v>
      </c>
      <c r="G105" s="51" t="s">
        <v>28</v>
      </c>
      <c r="H105" s="51">
        <v>0</v>
      </c>
    </row>
    <row r="106" s="51" customFormat="1" spans="1:8">
      <c r="A106" s="57" t="s">
        <v>244</v>
      </c>
      <c r="B106" s="58"/>
      <c r="C106" s="57" t="s">
        <v>245</v>
      </c>
      <c r="D106" s="59" t="s">
        <v>241</v>
      </c>
      <c r="E106" s="60" t="str">
        <f ca="1" t="shared" si="1"/>
        <v>XL</v>
      </c>
      <c r="F106" s="51">
        <v>10</v>
      </c>
      <c r="G106" s="51" t="s">
        <v>28</v>
      </c>
      <c r="H106" s="51" t="e">
        <v>#N/A</v>
      </c>
    </row>
    <row r="107" s="51" customFormat="1" spans="1:8">
      <c r="A107" s="57" t="s">
        <v>246</v>
      </c>
      <c r="B107" s="58"/>
      <c r="C107" s="57" t="s">
        <v>247</v>
      </c>
      <c r="D107" s="59" t="s">
        <v>241</v>
      </c>
      <c r="E107" s="60" t="str">
        <f ca="1" t="shared" si="1"/>
        <v>XL</v>
      </c>
      <c r="F107" s="51">
        <v>10</v>
      </c>
      <c r="G107" s="51" t="s">
        <v>28</v>
      </c>
      <c r="H107" s="51">
        <v>0</v>
      </c>
    </row>
    <row r="108" s="51" customFormat="1" spans="1:8">
      <c r="A108" s="57" t="s">
        <v>248</v>
      </c>
      <c r="B108" s="58"/>
      <c r="C108" s="57" t="s">
        <v>249</v>
      </c>
      <c r="D108" s="59" t="s">
        <v>241</v>
      </c>
      <c r="E108" s="60" t="str">
        <f ca="1" t="shared" si="1"/>
        <v>XL</v>
      </c>
      <c r="F108" s="51">
        <v>10</v>
      </c>
      <c r="G108" s="51" t="s">
        <v>28</v>
      </c>
      <c r="H108" s="51" t="e">
        <v>#N/A</v>
      </c>
    </row>
    <row r="109" s="51" customFormat="1" spans="1:8">
      <c r="A109" s="57" t="s">
        <v>250</v>
      </c>
      <c r="B109" s="58"/>
      <c r="C109" s="57" t="s">
        <v>251</v>
      </c>
      <c r="D109" s="59" t="s">
        <v>241</v>
      </c>
      <c r="E109" s="60" t="str">
        <f ca="1" t="shared" si="1"/>
        <v>XL</v>
      </c>
      <c r="F109" s="51">
        <v>10</v>
      </c>
      <c r="G109" s="51" t="s">
        <v>28</v>
      </c>
      <c r="H109" s="51" t="e">
        <v>#N/A</v>
      </c>
    </row>
    <row r="110" s="51" customFormat="1" spans="1:8">
      <c r="A110" s="57" t="s">
        <v>252</v>
      </c>
      <c r="B110" s="58"/>
      <c r="C110" s="57" t="s">
        <v>253</v>
      </c>
      <c r="D110" s="59" t="s">
        <v>241</v>
      </c>
      <c r="E110" s="60" t="str">
        <f ca="1" t="shared" si="1"/>
        <v>XL</v>
      </c>
      <c r="F110" s="51">
        <v>10</v>
      </c>
      <c r="G110" s="51" t="s">
        <v>28</v>
      </c>
      <c r="H110" s="51" t="e">
        <v>#N/A</v>
      </c>
    </row>
    <row r="111" s="51" customFormat="1" spans="1:8">
      <c r="A111" s="57" t="s">
        <v>254</v>
      </c>
      <c r="B111" s="58"/>
      <c r="C111" s="57" t="s">
        <v>255</v>
      </c>
      <c r="D111" s="59" t="s">
        <v>241</v>
      </c>
      <c r="E111" s="60" t="str">
        <f ca="1" t="shared" si="1"/>
        <v>XL</v>
      </c>
      <c r="F111" s="51">
        <v>10</v>
      </c>
      <c r="G111" s="51" t="s">
        <v>28</v>
      </c>
      <c r="H111" s="51" t="e">
        <v>#N/A</v>
      </c>
    </row>
    <row r="112" s="51" customFormat="1" spans="1:8">
      <c r="A112" s="57" t="s">
        <v>256</v>
      </c>
      <c r="B112" s="58"/>
      <c r="C112" s="57" t="s">
        <v>257</v>
      </c>
      <c r="D112" s="59" t="s">
        <v>241</v>
      </c>
      <c r="E112" s="60" t="str">
        <f ca="1" t="shared" si="1"/>
        <v>XL</v>
      </c>
      <c r="F112" s="51">
        <v>10</v>
      </c>
      <c r="G112" s="51" t="s">
        <v>28</v>
      </c>
      <c r="H112" s="51" t="e">
        <v>#N/A</v>
      </c>
    </row>
    <row r="113" s="51" customFormat="1" spans="1:8">
      <c r="A113" s="57" t="s">
        <v>258</v>
      </c>
      <c r="B113" s="58"/>
      <c r="C113" s="57" t="s">
        <v>259</v>
      </c>
      <c r="D113" s="59" t="s">
        <v>241</v>
      </c>
      <c r="E113" s="60" t="str">
        <f ca="1" t="shared" si="1"/>
        <v>XL</v>
      </c>
      <c r="F113" s="51">
        <v>10</v>
      </c>
      <c r="G113" s="51" t="s">
        <v>28</v>
      </c>
      <c r="H113" s="51" t="e">
        <v>#N/A</v>
      </c>
    </row>
    <row r="114" s="51" customFormat="1" spans="1:8">
      <c r="A114" s="57" t="s">
        <v>260</v>
      </c>
      <c r="B114" s="58"/>
      <c r="C114" s="57" t="s">
        <v>261</v>
      </c>
      <c r="D114" s="59" t="s">
        <v>241</v>
      </c>
      <c r="E114" s="60" t="str">
        <f ca="1" t="shared" si="1"/>
        <v>XL</v>
      </c>
      <c r="F114" s="51">
        <v>10</v>
      </c>
      <c r="G114" s="51" t="s">
        <v>28</v>
      </c>
      <c r="H114" s="51" t="e">
        <v>#N/A</v>
      </c>
    </row>
    <row r="115" spans="1:8">
      <c r="A115" s="57" t="s">
        <v>262</v>
      </c>
      <c r="B115" s="58"/>
      <c r="C115" s="57" t="s">
        <v>263</v>
      </c>
      <c r="D115" s="59" t="s">
        <v>241</v>
      </c>
      <c r="E115" s="60" t="str">
        <f ca="1" t="shared" si="1"/>
        <v>XL</v>
      </c>
      <c r="F115" s="51">
        <v>15</v>
      </c>
      <c r="G115" s="51" t="s">
        <v>28</v>
      </c>
      <c r="H115" s="51" t="e">
        <v>#N/A</v>
      </c>
    </row>
    <row r="116" spans="1:8">
      <c r="A116" s="57" t="s">
        <v>264</v>
      </c>
      <c r="B116" s="58"/>
      <c r="C116" s="57" t="s">
        <v>265</v>
      </c>
      <c r="D116" s="59" t="s">
        <v>241</v>
      </c>
      <c r="E116" s="60" t="str">
        <f ca="1" t="shared" si="1"/>
        <v>XL</v>
      </c>
      <c r="F116" s="51">
        <v>15</v>
      </c>
      <c r="G116" s="51" t="s">
        <v>28</v>
      </c>
      <c r="H116" s="51" t="e">
        <v>#N/A</v>
      </c>
    </row>
    <row r="117" spans="1:8">
      <c r="A117" s="57" t="s">
        <v>266</v>
      </c>
      <c r="B117" s="58"/>
      <c r="C117" s="57" t="s">
        <v>267</v>
      </c>
      <c r="D117" s="59" t="s">
        <v>241</v>
      </c>
      <c r="E117" s="60" t="str">
        <f ca="1" t="shared" si="1"/>
        <v>XL</v>
      </c>
      <c r="F117" s="51">
        <v>15</v>
      </c>
      <c r="G117" s="51" t="s">
        <v>28</v>
      </c>
      <c r="H117" s="51">
        <v>0</v>
      </c>
    </row>
    <row r="118" spans="1:8">
      <c r="A118" s="57" t="s">
        <v>268</v>
      </c>
      <c r="B118" s="58"/>
      <c r="C118" s="57" t="s">
        <v>269</v>
      </c>
      <c r="D118" s="59" t="s">
        <v>241</v>
      </c>
      <c r="E118" s="60" t="str">
        <f ca="1" t="shared" si="1"/>
        <v>XL</v>
      </c>
      <c r="F118" s="51">
        <v>15</v>
      </c>
      <c r="G118" s="51" t="s">
        <v>28</v>
      </c>
      <c r="H118" s="51">
        <v>0</v>
      </c>
    </row>
    <row r="119" spans="1:8">
      <c r="A119" s="57" t="s">
        <v>270</v>
      </c>
      <c r="B119" s="58"/>
      <c r="C119" s="57" t="s">
        <v>271</v>
      </c>
      <c r="D119" s="59" t="s">
        <v>241</v>
      </c>
      <c r="E119" s="60" t="str">
        <f ca="1" t="shared" si="1"/>
        <v>XL</v>
      </c>
      <c r="F119" s="51">
        <v>15</v>
      </c>
      <c r="G119" s="51" t="s">
        <v>28</v>
      </c>
      <c r="H119" s="51">
        <v>0</v>
      </c>
    </row>
    <row r="120" spans="1:8">
      <c r="A120" s="57" t="s">
        <v>272</v>
      </c>
      <c r="B120" s="58"/>
      <c r="C120" s="57" t="s">
        <v>273</v>
      </c>
      <c r="D120" s="59" t="s">
        <v>241</v>
      </c>
      <c r="E120" s="60" t="str">
        <f ca="1" t="shared" si="1"/>
        <v>XL</v>
      </c>
      <c r="F120" s="51">
        <v>15</v>
      </c>
      <c r="G120" s="51" t="s">
        <v>28</v>
      </c>
      <c r="H120" s="51">
        <v>0</v>
      </c>
    </row>
    <row r="121" spans="1:8">
      <c r="A121" s="57" t="s">
        <v>274</v>
      </c>
      <c r="B121" s="58"/>
      <c r="C121" s="57" t="s">
        <v>275</v>
      </c>
      <c r="D121" s="59" t="s">
        <v>241</v>
      </c>
      <c r="E121" s="60" t="str">
        <f ca="1" t="shared" si="1"/>
        <v>XL</v>
      </c>
      <c r="F121" s="51">
        <v>15</v>
      </c>
      <c r="G121" s="51" t="s">
        <v>28</v>
      </c>
      <c r="H121" s="51">
        <v>0</v>
      </c>
    </row>
    <row r="122" spans="1:8">
      <c r="A122" s="57" t="s">
        <v>276</v>
      </c>
      <c r="B122" s="58"/>
      <c r="C122" s="57" t="s">
        <v>277</v>
      </c>
      <c r="D122" s="59" t="s">
        <v>241</v>
      </c>
      <c r="E122" s="60" t="str">
        <f ca="1" t="shared" si="1"/>
        <v>XL</v>
      </c>
      <c r="F122" s="51">
        <v>15</v>
      </c>
      <c r="G122" s="51" t="s">
        <v>28</v>
      </c>
      <c r="H122" s="51">
        <v>0</v>
      </c>
    </row>
    <row r="123" spans="1:8">
      <c r="A123" s="57" t="s">
        <v>278</v>
      </c>
      <c r="B123" s="58"/>
      <c r="C123" s="57" t="s">
        <v>279</v>
      </c>
      <c r="D123" s="59" t="s">
        <v>241</v>
      </c>
      <c r="E123" s="60" t="str">
        <f ca="1" t="shared" si="1"/>
        <v>XL</v>
      </c>
      <c r="F123" s="51">
        <v>15</v>
      </c>
      <c r="G123" s="51" t="s">
        <v>28</v>
      </c>
      <c r="H123" s="51">
        <v>0</v>
      </c>
    </row>
    <row r="124" s="51" customFormat="1" spans="1:8">
      <c r="A124" s="57" t="s">
        <v>280</v>
      </c>
      <c r="B124" s="58"/>
      <c r="C124" s="57" t="s">
        <v>281</v>
      </c>
      <c r="D124" s="59" t="s">
        <v>241</v>
      </c>
      <c r="E124" s="60" t="str">
        <f ca="1" t="shared" si="1"/>
        <v>XL</v>
      </c>
      <c r="F124" s="51">
        <v>14</v>
      </c>
      <c r="G124" s="51" t="s">
        <v>28</v>
      </c>
      <c r="H124" s="51" t="e">
        <v>#N/A</v>
      </c>
    </row>
    <row r="125" s="51" customFormat="1" spans="1:8">
      <c r="A125" s="57" t="s">
        <v>282</v>
      </c>
      <c r="B125" s="58"/>
      <c r="C125" s="57" t="s">
        <v>283</v>
      </c>
      <c r="D125" s="59" t="s">
        <v>241</v>
      </c>
      <c r="E125" s="60" t="str">
        <f ca="1" t="shared" si="1"/>
        <v>XL</v>
      </c>
      <c r="F125" s="51">
        <v>14</v>
      </c>
      <c r="G125" s="51" t="s">
        <v>28</v>
      </c>
      <c r="H125" s="51" t="e">
        <v>#N/A</v>
      </c>
    </row>
    <row r="126" s="51" customFormat="1" spans="1:8">
      <c r="A126" s="57" t="s">
        <v>284</v>
      </c>
      <c r="B126" s="58"/>
      <c r="C126" s="57" t="s">
        <v>285</v>
      </c>
      <c r="D126" s="59" t="s">
        <v>241</v>
      </c>
      <c r="E126" s="60" t="str">
        <f ca="1" t="shared" si="1"/>
        <v>XL</v>
      </c>
      <c r="F126" s="51">
        <v>14</v>
      </c>
      <c r="G126" s="51" t="s">
        <v>28</v>
      </c>
      <c r="H126" s="51" t="e">
        <v>#N/A</v>
      </c>
    </row>
    <row r="127" s="51" customFormat="1" spans="1:8">
      <c r="A127" s="57" t="s">
        <v>286</v>
      </c>
      <c r="B127" s="58"/>
      <c r="C127" s="57" t="s">
        <v>287</v>
      </c>
      <c r="D127" s="59" t="s">
        <v>241</v>
      </c>
      <c r="E127" s="60" t="str">
        <f ca="1" t="shared" si="1"/>
        <v>XL</v>
      </c>
      <c r="F127" s="51">
        <v>14</v>
      </c>
      <c r="G127" s="51" t="s">
        <v>28</v>
      </c>
      <c r="H127" s="51" t="e">
        <v>#N/A</v>
      </c>
    </row>
    <row r="128" s="51" customFormat="1" spans="1:8">
      <c r="A128" s="57" t="s">
        <v>288</v>
      </c>
      <c r="B128" s="58"/>
      <c r="C128" s="57" t="s">
        <v>289</v>
      </c>
      <c r="D128" s="59" t="s">
        <v>241</v>
      </c>
      <c r="E128" s="60" t="str">
        <f ca="1" t="shared" si="1"/>
        <v>XL</v>
      </c>
      <c r="F128" s="51">
        <v>14</v>
      </c>
      <c r="G128" s="51" t="s">
        <v>28</v>
      </c>
      <c r="H128" s="51" t="e">
        <v>#N/A</v>
      </c>
    </row>
    <row r="129" s="51" customFormat="1" spans="1:8">
      <c r="A129" s="57" t="s">
        <v>290</v>
      </c>
      <c r="B129" s="58"/>
      <c r="C129" s="57" t="s">
        <v>291</v>
      </c>
      <c r="D129" s="59" t="s">
        <v>241</v>
      </c>
      <c r="E129" s="60" t="str">
        <f ca="1" t="shared" si="1"/>
        <v>XL</v>
      </c>
      <c r="F129" s="51">
        <v>14</v>
      </c>
      <c r="G129" s="51" t="s">
        <v>28</v>
      </c>
      <c r="H129" s="51" t="e">
        <v>#N/A</v>
      </c>
    </row>
    <row r="130" s="51" customFormat="1" spans="1:8">
      <c r="A130" s="57" t="s">
        <v>292</v>
      </c>
      <c r="B130" s="58"/>
      <c r="C130" s="57" t="s">
        <v>293</v>
      </c>
      <c r="D130" s="59" t="s">
        <v>241</v>
      </c>
      <c r="E130" s="60" t="str">
        <f ca="1" t="shared" si="1"/>
        <v>XL</v>
      </c>
      <c r="F130" s="51">
        <v>14</v>
      </c>
      <c r="G130" s="51" t="s">
        <v>28</v>
      </c>
      <c r="H130" s="51" t="e">
        <v>#N/A</v>
      </c>
    </row>
    <row r="131" s="51" customFormat="1" spans="1:8">
      <c r="A131" s="57" t="s">
        <v>294</v>
      </c>
      <c r="B131" s="58"/>
      <c r="C131" s="57" t="s">
        <v>295</v>
      </c>
      <c r="D131" s="59" t="s">
        <v>241</v>
      </c>
      <c r="E131" s="60" t="str">
        <f ca="1" t="shared" ref="E131:E194" si="2">LEFT(A131,2)</f>
        <v>XL</v>
      </c>
      <c r="F131" s="51">
        <v>14</v>
      </c>
      <c r="G131" s="51" t="s">
        <v>28</v>
      </c>
      <c r="H131" s="51" t="e">
        <v>#N/A</v>
      </c>
    </row>
    <row r="132" s="51" customFormat="1" spans="1:8">
      <c r="A132" s="57" t="s">
        <v>296</v>
      </c>
      <c r="B132" s="58"/>
      <c r="C132" s="57" t="s">
        <v>297</v>
      </c>
      <c r="D132" s="59" t="s">
        <v>241</v>
      </c>
      <c r="E132" s="60" t="str">
        <f ca="1" t="shared" si="2"/>
        <v>XL</v>
      </c>
      <c r="F132" s="51">
        <v>14</v>
      </c>
      <c r="G132" s="51" t="s">
        <v>28</v>
      </c>
      <c r="H132" s="51" t="e">
        <v>#N/A</v>
      </c>
    </row>
    <row r="133" s="51" customFormat="1" spans="1:8">
      <c r="A133" s="57" t="s">
        <v>298</v>
      </c>
      <c r="B133" s="58"/>
      <c r="C133" s="57" t="s">
        <v>299</v>
      </c>
      <c r="D133" s="59" t="s">
        <v>241</v>
      </c>
      <c r="E133" s="60" t="str">
        <f ca="1" t="shared" si="2"/>
        <v>XL</v>
      </c>
      <c r="F133" s="51">
        <v>14</v>
      </c>
      <c r="G133" s="51" t="s">
        <v>28</v>
      </c>
      <c r="H133" s="51" t="e">
        <v>#N/A</v>
      </c>
    </row>
    <row r="134" s="51" customFormat="1" spans="1:8">
      <c r="A134" s="57" t="s">
        <v>300</v>
      </c>
      <c r="B134" s="58"/>
      <c r="C134" s="57" t="s">
        <v>301</v>
      </c>
      <c r="D134" s="59" t="s">
        <v>241</v>
      </c>
      <c r="E134" s="60" t="str">
        <f ca="1" t="shared" si="2"/>
        <v>XL</v>
      </c>
      <c r="F134" s="51">
        <v>14</v>
      </c>
      <c r="G134" s="51" t="s">
        <v>28</v>
      </c>
      <c r="H134" s="51" t="e">
        <v>#N/A</v>
      </c>
    </row>
    <row r="135" s="51" customFormat="1" spans="1:8">
      <c r="A135" s="57" t="s">
        <v>302</v>
      </c>
      <c r="B135" s="58"/>
      <c r="C135" s="57" t="s">
        <v>303</v>
      </c>
      <c r="D135" s="59" t="s">
        <v>241</v>
      </c>
      <c r="E135" s="60" t="str">
        <f ca="1" t="shared" si="2"/>
        <v>XL</v>
      </c>
      <c r="F135" s="51">
        <v>14</v>
      </c>
      <c r="G135" s="51" t="s">
        <v>28</v>
      </c>
      <c r="H135" s="51" t="e">
        <v>#N/A</v>
      </c>
    </row>
    <row r="136" s="51" customFormat="1" spans="1:8">
      <c r="A136" s="57" t="s">
        <v>304</v>
      </c>
      <c r="B136" s="58"/>
      <c r="C136" s="57" t="s">
        <v>305</v>
      </c>
      <c r="D136" s="59" t="s">
        <v>241</v>
      </c>
      <c r="E136" s="60" t="str">
        <f ca="1" t="shared" si="2"/>
        <v>XL</v>
      </c>
      <c r="F136" s="51">
        <v>14</v>
      </c>
      <c r="G136" s="51" t="s">
        <v>28</v>
      </c>
      <c r="H136" s="51">
        <v>0</v>
      </c>
    </row>
    <row r="137" spans="1:8">
      <c r="A137" s="57" t="s">
        <v>306</v>
      </c>
      <c r="B137" s="58"/>
      <c r="C137" s="57" t="s">
        <v>307</v>
      </c>
      <c r="D137" s="59" t="s">
        <v>241</v>
      </c>
      <c r="E137" s="60" t="str">
        <f ca="1" t="shared" si="2"/>
        <v>XL</v>
      </c>
      <c r="F137" s="51">
        <v>14</v>
      </c>
      <c r="G137" s="51" t="s">
        <v>28</v>
      </c>
      <c r="H137" s="51" t="e">
        <v>#N/A</v>
      </c>
    </row>
    <row r="138" s="51" customFormat="1" spans="1:8">
      <c r="A138" s="57" t="s">
        <v>308</v>
      </c>
      <c r="B138" s="58"/>
      <c r="C138" s="57" t="s">
        <v>309</v>
      </c>
      <c r="D138" s="59" t="s">
        <v>241</v>
      </c>
      <c r="E138" s="60" t="str">
        <f ca="1" t="shared" si="2"/>
        <v>XL</v>
      </c>
      <c r="F138" s="51">
        <v>14</v>
      </c>
      <c r="G138" s="51" t="s">
        <v>28</v>
      </c>
      <c r="H138" s="51" t="s">
        <v>241</v>
      </c>
    </row>
    <row r="139" s="51" customFormat="1" spans="1:8">
      <c r="A139" s="57" t="s">
        <v>310</v>
      </c>
      <c r="B139" s="58"/>
      <c r="C139" s="57" t="s">
        <v>311</v>
      </c>
      <c r="D139" s="59" t="s">
        <v>241</v>
      </c>
      <c r="E139" s="60" t="str">
        <f ca="1" t="shared" si="2"/>
        <v>XL</v>
      </c>
      <c r="F139" s="51">
        <v>14</v>
      </c>
      <c r="G139" s="51" t="s">
        <v>28</v>
      </c>
      <c r="H139" s="51" t="e">
        <v>#N/A</v>
      </c>
    </row>
    <row r="140" s="51" customFormat="1" spans="1:8">
      <c r="A140" s="57" t="s">
        <v>312</v>
      </c>
      <c r="B140" s="58"/>
      <c r="C140" s="57" t="s">
        <v>313</v>
      </c>
      <c r="D140" s="59" t="s">
        <v>241</v>
      </c>
      <c r="E140" s="60" t="str">
        <f ca="1" t="shared" si="2"/>
        <v>XL</v>
      </c>
      <c r="F140" s="51">
        <v>14</v>
      </c>
      <c r="G140" s="51" t="s">
        <v>28</v>
      </c>
      <c r="H140" s="51" t="e">
        <v>#N/A</v>
      </c>
    </row>
    <row r="141" s="51" customFormat="1" spans="1:8">
      <c r="A141" s="57" t="s">
        <v>314</v>
      </c>
      <c r="B141" s="58"/>
      <c r="C141" s="57" t="s">
        <v>315</v>
      </c>
      <c r="D141" s="59" t="s">
        <v>241</v>
      </c>
      <c r="E141" s="60" t="str">
        <f ca="1" t="shared" si="2"/>
        <v>XL</v>
      </c>
      <c r="F141" s="51">
        <v>14</v>
      </c>
      <c r="G141" s="51" t="s">
        <v>28</v>
      </c>
      <c r="H141" s="51" t="e">
        <v>#N/A</v>
      </c>
    </row>
    <row r="142" s="51" customFormat="1" spans="1:8">
      <c r="A142" s="57" t="s">
        <v>316</v>
      </c>
      <c r="B142" s="58"/>
      <c r="C142" s="57" t="s">
        <v>317</v>
      </c>
      <c r="D142" s="59" t="s">
        <v>241</v>
      </c>
      <c r="E142" s="60" t="str">
        <f ca="1" t="shared" si="2"/>
        <v>XL</v>
      </c>
      <c r="F142" s="51">
        <v>14</v>
      </c>
      <c r="G142" s="51" t="s">
        <v>28</v>
      </c>
      <c r="H142" s="51" t="e">
        <v>#N/A</v>
      </c>
    </row>
    <row r="143" s="51" customFormat="1" spans="1:8">
      <c r="A143" s="57" t="s">
        <v>318</v>
      </c>
      <c r="B143" s="58"/>
      <c r="C143" s="57" t="s">
        <v>319</v>
      </c>
      <c r="D143" s="59" t="s">
        <v>241</v>
      </c>
      <c r="E143" s="60" t="str">
        <f ca="1" t="shared" si="2"/>
        <v>XL</v>
      </c>
      <c r="F143" s="51">
        <v>14</v>
      </c>
      <c r="G143" s="51" t="s">
        <v>28</v>
      </c>
      <c r="H143" s="51" t="e">
        <v>#N/A</v>
      </c>
    </row>
    <row r="144" s="51" customFormat="1" spans="1:8">
      <c r="A144" s="57" t="s">
        <v>320</v>
      </c>
      <c r="B144" s="58"/>
      <c r="C144" s="57" t="s">
        <v>321</v>
      </c>
      <c r="D144" s="59" t="s">
        <v>241</v>
      </c>
      <c r="E144" s="60" t="str">
        <f ca="1" t="shared" si="2"/>
        <v>XL</v>
      </c>
      <c r="F144" s="51">
        <v>14</v>
      </c>
      <c r="G144" s="51" t="s">
        <v>28</v>
      </c>
      <c r="H144" s="51" t="e">
        <v>#N/A</v>
      </c>
    </row>
    <row r="145" s="51" customFormat="1" spans="1:8">
      <c r="A145" s="57" t="s">
        <v>322</v>
      </c>
      <c r="B145" s="58"/>
      <c r="C145" s="57" t="s">
        <v>323</v>
      </c>
      <c r="D145" s="59" t="s">
        <v>241</v>
      </c>
      <c r="E145" s="60" t="str">
        <f ca="1" t="shared" si="2"/>
        <v>XL</v>
      </c>
      <c r="F145" s="51">
        <v>14</v>
      </c>
      <c r="G145" s="51" t="s">
        <v>28</v>
      </c>
      <c r="H145" s="51" t="e">
        <v>#N/A</v>
      </c>
    </row>
    <row r="146" s="51" customFormat="1" spans="1:8">
      <c r="A146" s="57" t="s">
        <v>324</v>
      </c>
      <c r="B146" s="58"/>
      <c r="C146" s="57" t="s">
        <v>325</v>
      </c>
      <c r="D146" s="59" t="s">
        <v>241</v>
      </c>
      <c r="E146" s="60" t="str">
        <f ca="1" t="shared" si="2"/>
        <v>XL</v>
      </c>
      <c r="F146" s="51">
        <v>14</v>
      </c>
      <c r="G146" s="51" t="s">
        <v>28</v>
      </c>
      <c r="H146" s="51" t="e">
        <v>#N/A</v>
      </c>
    </row>
    <row r="147" s="51" customFormat="1" spans="1:8">
      <c r="A147" s="57" t="s">
        <v>326</v>
      </c>
      <c r="B147" s="58"/>
      <c r="C147" s="57" t="s">
        <v>327</v>
      </c>
      <c r="D147" s="59" t="s">
        <v>241</v>
      </c>
      <c r="E147" s="60" t="str">
        <f ca="1" t="shared" si="2"/>
        <v>XL</v>
      </c>
      <c r="F147" s="51">
        <v>14</v>
      </c>
      <c r="G147" s="51" t="s">
        <v>28</v>
      </c>
      <c r="H147" s="51" t="s">
        <v>241</v>
      </c>
    </row>
    <row r="148" s="51" customFormat="1" spans="1:8">
      <c r="A148" s="57" t="s">
        <v>328</v>
      </c>
      <c r="B148" s="58"/>
      <c r="C148" s="57" t="s">
        <v>329</v>
      </c>
      <c r="D148" s="59" t="s">
        <v>241</v>
      </c>
      <c r="E148" s="60" t="str">
        <f ca="1" t="shared" si="2"/>
        <v>XL</v>
      </c>
      <c r="F148" s="51">
        <v>14</v>
      </c>
      <c r="G148" s="51" t="s">
        <v>28</v>
      </c>
      <c r="H148" s="51" t="e">
        <v>#N/A</v>
      </c>
    </row>
    <row r="149" spans="1:8">
      <c r="A149" s="57" t="s">
        <v>330</v>
      </c>
      <c r="B149" s="58"/>
      <c r="C149" s="57" t="s">
        <v>331</v>
      </c>
      <c r="D149" s="59" t="s">
        <v>227</v>
      </c>
      <c r="E149" s="60" t="str">
        <f ca="1" t="shared" si="2"/>
        <v>AC</v>
      </c>
      <c r="F149" s="51">
        <v>15</v>
      </c>
      <c r="G149" s="51" t="s">
        <v>28</v>
      </c>
      <c r="H149" s="51" t="e">
        <v>#N/A</v>
      </c>
    </row>
    <row r="150" spans="1:8">
      <c r="A150" s="57" t="s">
        <v>332</v>
      </c>
      <c r="B150" s="58"/>
      <c r="C150" s="57" t="s">
        <v>333</v>
      </c>
      <c r="D150" s="59" t="s">
        <v>227</v>
      </c>
      <c r="E150" s="60" t="str">
        <f ca="1" t="shared" si="2"/>
        <v>AC</v>
      </c>
      <c r="F150" s="51">
        <v>15</v>
      </c>
      <c r="G150" s="51" t="s">
        <v>28</v>
      </c>
      <c r="H150" s="51" t="e">
        <v>#N/A</v>
      </c>
    </row>
    <row r="151" spans="1:8">
      <c r="A151" s="57" t="s">
        <v>334</v>
      </c>
      <c r="B151" s="58"/>
      <c r="C151" s="57" t="s">
        <v>335</v>
      </c>
      <c r="D151" s="59" t="s">
        <v>227</v>
      </c>
      <c r="E151" s="60" t="str">
        <f ca="1" t="shared" si="2"/>
        <v>AC</v>
      </c>
      <c r="F151" s="51">
        <v>15</v>
      </c>
      <c r="G151" s="51" t="s">
        <v>28</v>
      </c>
      <c r="H151" s="51" t="e">
        <v>#N/A</v>
      </c>
    </row>
    <row r="152" spans="1:8">
      <c r="A152" s="116" t="s">
        <v>336</v>
      </c>
      <c r="B152" s="58"/>
      <c r="C152" s="57" t="s">
        <v>337</v>
      </c>
      <c r="D152" s="59" t="s">
        <v>227</v>
      </c>
      <c r="E152" s="60" t="str">
        <f ca="1" t="shared" si="2"/>
        <v>AC</v>
      </c>
      <c r="F152" s="51">
        <v>15</v>
      </c>
      <c r="G152" s="51" t="s">
        <v>28</v>
      </c>
      <c r="H152" s="51" t="e">
        <v>#N/A</v>
      </c>
    </row>
    <row r="153" spans="1:8">
      <c r="A153" s="57" t="s">
        <v>338</v>
      </c>
      <c r="B153" s="58"/>
      <c r="C153" s="57" t="s">
        <v>339</v>
      </c>
      <c r="D153" s="59" t="s">
        <v>227</v>
      </c>
      <c r="E153" s="60" t="str">
        <f ca="1" t="shared" si="2"/>
        <v>AC</v>
      </c>
      <c r="F153" s="51">
        <v>15</v>
      </c>
      <c r="G153" s="51" t="s">
        <v>28</v>
      </c>
      <c r="H153" s="51" t="e">
        <v>#N/A</v>
      </c>
    </row>
    <row r="154" spans="1:8">
      <c r="A154" s="57" t="s">
        <v>340</v>
      </c>
      <c r="B154" s="58"/>
      <c r="C154" s="57" t="s">
        <v>341</v>
      </c>
      <c r="D154" s="59" t="s">
        <v>227</v>
      </c>
      <c r="E154" s="60" t="str">
        <f ca="1" t="shared" si="2"/>
        <v>AC</v>
      </c>
      <c r="F154" s="51">
        <v>15</v>
      </c>
      <c r="G154" s="51" t="s">
        <v>28</v>
      </c>
      <c r="H154" s="51" t="e">
        <v>#N/A</v>
      </c>
    </row>
    <row r="155" spans="1:8">
      <c r="A155" s="57" t="s">
        <v>342</v>
      </c>
      <c r="B155" s="58"/>
      <c r="C155" s="57" t="s">
        <v>343</v>
      </c>
      <c r="D155" s="59" t="s">
        <v>227</v>
      </c>
      <c r="E155" s="60" t="str">
        <f ca="1" t="shared" si="2"/>
        <v>AC</v>
      </c>
      <c r="F155" s="51">
        <v>15</v>
      </c>
      <c r="G155" s="51" t="s">
        <v>28</v>
      </c>
      <c r="H155" s="51" t="e">
        <v>#N/A</v>
      </c>
    </row>
    <row r="156" spans="1:8">
      <c r="A156" s="57" t="s">
        <v>344</v>
      </c>
      <c r="B156" s="58"/>
      <c r="C156" s="57" t="s">
        <v>345</v>
      </c>
      <c r="D156" s="59" t="s">
        <v>227</v>
      </c>
      <c r="E156" s="60" t="str">
        <f ca="1" t="shared" si="2"/>
        <v>AC</v>
      </c>
      <c r="F156" s="51">
        <v>15</v>
      </c>
      <c r="G156" s="51" t="s">
        <v>28</v>
      </c>
      <c r="H156" s="51" t="e">
        <v>#N/A</v>
      </c>
    </row>
    <row r="157" s="51" customFormat="1" spans="1:8">
      <c r="A157" s="57" t="s">
        <v>346</v>
      </c>
      <c r="B157" s="58"/>
      <c r="C157" s="57" t="s">
        <v>347</v>
      </c>
      <c r="D157" s="59" t="s">
        <v>241</v>
      </c>
      <c r="E157" s="60" t="str">
        <f ca="1" t="shared" si="2"/>
        <v>AC</v>
      </c>
      <c r="F157" s="51">
        <v>11</v>
      </c>
      <c r="G157" s="51" t="s">
        <v>28</v>
      </c>
      <c r="H157" s="51" t="e">
        <v>#N/A</v>
      </c>
    </row>
    <row r="158" s="51" customFormat="1" spans="1:8">
      <c r="A158" s="57" t="s">
        <v>348</v>
      </c>
      <c r="B158" s="58"/>
      <c r="C158" s="57" t="s">
        <v>349</v>
      </c>
      <c r="D158" s="59" t="s">
        <v>241</v>
      </c>
      <c r="E158" s="60" t="str">
        <f ca="1" t="shared" si="2"/>
        <v>AC</v>
      </c>
      <c r="F158" s="51">
        <v>11</v>
      </c>
      <c r="G158" s="51" t="s">
        <v>28</v>
      </c>
      <c r="H158" s="51">
        <v>0</v>
      </c>
    </row>
    <row r="159" s="51" customFormat="1" spans="1:8">
      <c r="A159" s="57" t="s">
        <v>350</v>
      </c>
      <c r="B159" s="58"/>
      <c r="C159" s="57" t="s">
        <v>351</v>
      </c>
      <c r="D159" s="59" t="s">
        <v>227</v>
      </c>
      <c r="E159" s="60" t="str">
        <f ca="1" t="shared" si="2"/>
        <v>AC</v>
      </c>
      <c r="F159" s="51">
        <v>15</v>
      </c>
      <c r="G159" s="51" t="s">
        <v>28</v>
      </c>
      <c r="H159" s="51" t="e">
        <v>#N/A</v>
      </c>
    </row>
    <row r="160" s="51" customFormat="1" spans="1:8">
      <c r="A160" s="57" t="s">
        <v>352</v>
      </c>
      <c r="B160" s="58"/>
      <c r="C160" s="57" t="s">
        <v>353</v>
      </c>
      <c r="D160" s="59" t="s">
        <v>227</v>
      </c>
      <c r="E160" s="60" t="str">
        <f ca="1" t="shared" si="2"/>
        <v>AC</v>
      </c>
      <c r="F160" s="51">
        <v>15</v>
      </c>
      <c r="G160" s="51" t="s">
        <v>28</v>
      </c>
      <c r="H160" s="51">
        <v>0</v>
      </c>
    </row>
    <row r="161" s="51" customFormat="1" spans="1:8">
      <c r="A161" s="57" t="s">
        <v>354</v>
      </c>
      <c r="B161" s="58"/>
      <c r="C161" s="57" t="s">
        <v>355</v>
      </c>
      <c r="D161" s="59" t="s">
        <v>227</v>
      </c>
      <c r="E161" s="60" t="str">
        <f ca="1" t="shared" si="2"/>
        <v>AC</v>
      </c>
      <c r="F161" s="51">
        <v>15</v>
      </c>
      <c r="G161" s="51" t="s">
        <v>28</v>
      </c>
      <c r="H161" s="51">
        <v>0</v>
      </c>
    </row>
    <row r="162" s="51" customFormat="1" spans="1:8">
      <c r="A162" s="116" t="s">
        <v>356</v>
      </c>
      <c r="B162" s="58"/>
      <c r="C162" s="57" t="s">
        <v>357</v>
      </c>
      <c r="D162" s="59" t="s">
        <v>227</v>
      </c>
      <c r="E162" s="60" t="str">
        <f ca="1" t="shared" si="2"/>
        <v>AC</v>
      </c>
      <c r="F162" s="51">
        <v>15</v>
      </c>
      <c r="G162" s="51" t="s">
        <v>28</v>
      </c>
      <c r="H162" s="51">
        <v>0</v>
      </c>
    </row>
    <row r="163" s="51" customFormat="1" spans="1:8">
      <c r="A163" s="57" t="s">
        <v>358</v>
      </c>
      <c r="B163" s="58"/>
      <c r="C163" s="57" t="s">
        <v>359</v>
      </c>
      <c r="D163" s="59" t="s">
        <v>227</v>
      </c>
      <c r="E163" s="60" t="str">
        <f ca="1" t="shared" si="2"/>
        <v>AC</v>
      </c>
      <c r="F163" s="51">
        <v>15</v>
      </c>
      <c r="G163" s="51" t="s">
        <v>28</v>
      </c>
      <c r="H163" s="51">
        <v>0</v>
      </c>
    </row>
    <row r="164" s="51" customFormat="1" spans="1:8">
      <c r="A164" s="57" t="s">
        <v>360</v>
      </c>
      <c r="B164" s="58"/>
      <c r="C164" s="57" t="s">
        <v>361</v>
      </c>
      <c r="D164" s="59" t="s">
        <v>227</v>
      </c>
      <c r="E164" s="60" t="str">
        <f ca="1" t="shared" si="2"/>
        <v>AC</v>
      </c>
      <c r="F164" s="51">
        <v>15</v>
      </c>
      <c r="G164" s="51" t="s">
        <v>28</v>
      </c>
      <c r="H164" s="51">
        <v>0</v>
      </c>
    </row>
    <row r="165" s="51" customFormat="1" spans="1:8">
      <c r="A165" s="57" t="s">
        <v>362</v>
      </c>
      <c r="B165" s="58"/>
      <c r="C165" s="57" t="s">
        <v>363</v>
      </c>
      <c r="D165" s="59" t="s">
        <v>227</v>
      </c>
      <c r="E165" s="60" t="str">
        <f ca="1" t="shared" si="2"/>
        <v>AC</v>
      </c>
      <c r="F165" s="51">
        <v>15</v>
      </c>
      <c r="G165" s="51" t="s">
        <v>28</v>
      </c>
      <c r="H165" s="51">
        <v>0</v>
      </c>
    </row>
    <row r="166" s="51" customFormat="1" spans="1:8">
      <c r="A166" s="57" t="s">
        <v>364</v>
      </c>
      <c r="B166" s="58"/>
      <c r="C166" s="57" t="s">
        <v>365</v>
      </c>
      <c r="D166" s="59" t="s">
        <v>227</v>
      </c>
      <c r="E166" s="60" t="str">
        <f ca="1" t="shared" si="2"/>
        <v>AC</v>
      </c>
      <c r="F166" s="51">
        <v>15</v>
      </c>
      <c r="G166" s="51" t="s">
        <v>28</v>
      </c>
      <c r="H166" s="51">
        <v>0</v>
      </c>
    </row>
    <row r="167" s="51" customFormat="1" spans="1:8">
      <c r="A167" s="57" t="s">
        <v>366</v>
      </c>
      <c r="B167" s="58"/>
      <c r="C167" s="57" t="s">
        <v>367</v>
      </c>
      <c r="D167" s="59" t="s">
        <v>241</v>
      </c>
      <c r="E167" s="60" t="str">
        <f ca="1" t="shared" si="2"/>
        <v>av</v>
      </c>
      <c r="F167" s="51">
        <v>14</v>
      </c>
      <c r="G167" s="51" t="s">
        <v>28</v>
      </c>
      <c r="H167" s="51" t="e">
        <v>#N/A</v>
      </c>
    </row>
    <row r="168" s="51" customFormat="1" spans="1:8">
      <c r="A168" s="57" t="s">
        <v>368</v>
      </c>
      <c r="B168" s="58"/>
      <c r="C168" s="57" t="s">
        <v>369</v>
      </c>
      <c r="D168" s="59" t="s">
        <v>241</v>
      </c>
      <c r="E168" s="60" t="str">
        <f ca="1" t="shared" si="2"/>
        <v>av</v>
      </c>
      <c r="F168" s="51">
        <v>14</v>
      </c>
      <c r="G168" s="51" t="s">
        <v>28</v>
      </c>
      <c r="H168" s="51">
        <v>0</v>
      </c>
    </row>
    <row r="169" s="51" customFormat="1" spans="1:8">
      <c r="A169" s="57" t="s">
        <v>370</v>
      </c>
      <c r="B169" s="58"/>
      <c r="C169" s="57" t="s">
        <v>371</v>
      </c>
      <c r="D169" s="59" t="s">
        <v>241</v>
      </c>
      <c r="E169" s="60" t="str">
        <f ca="1" t="shared" si="2"/>
        <v>av</v>
      </c>
      <c r="F169" s="51">
        <v>14</v>
      </c>
      <c r="G169" s="51" t="s">
        <v>28</v>
      </c>
      <c r="H169" s="51" t="e">
        <v>#N/A</v>
      </c>
    </row>
    <row r="170" s="51" customFormat="1" spans="1:8">
      <c r="A170" s="57" t="s">
        <v>372</v>
      </c>
      <c r="B170" s="58"/>
      <c r="C170" s="57" t="s">
        <v>373</v>
      </c>
      <c r="D170" s="59" t="s">
        <v>241</v>
      </c>
      <c r="E170" s="60" t="str">
        <f ca="1" t="shared" si="2"/>
        <v>av</v>
      </c>
      <c r="F170" s="51">
        <v>14</v>
      </c>
      <c r="G170" s="51" t="s">
        <v>28</v>
      </c>
      <c r="H170" s="51">
        <v>0</v>
      </c>
    </row>
    <row r="171" s="51" customFormat="1" spans="1:8">
      <c r="A171" s="57" t="s">
        <v>374</v>
      </c>
      <c r="B171" s="58"/>
      <c r="C171" s="57" t="s">
        <v>375</v>
      </c>
      <c r="D171" s="59" t="s">
        <v>241</v>
      </c>
      <c r="E171" s="60" t="str">
        <f ca="1" t="shared" si="2"/>
        <v>av</v>
      </c>
      <c r="F171" s="51">
        <v>14</v>
      </c>
      <c r="G171" s="51" t="s">
        <v>28</v>
      </c>
      <c r="H171" s="51" t="e">
        <v>#N/A</v>
      </c>
    </row>
    <row r="172" s="51" customFormat="1" spans="1:8">
      <c r="A172" s="57" t="s">
        <v>376</v>
      </c>
      <c r="B172" s="58"/>
      <c r="C172" s="57" t="s">
        <v>377</v>
      </c>
      <c r="D172" s="59" t="s">
        <v>241</v>
      </c>
      <c r="E172" s="60" t="str">
        <f ca="1" t="shared" si="2"/>
        <v>av</v>
      </c>
      <c r="F172" s="51">
        <v>14</v>
      </c>
      <c r="G172" s="51" t="s">
        <v>28</v>
      </c>
      <c r="H172" s="51" t="e">
        <v>#N/A</v>
      </c>
    </row>
    <row r="173" s="51" customFormat="1" spans="1:8">
      <c r="A173" s="57" t="s">
        <v>378</v>
      </c>
      <c r="B173" s="58"/>
      <c r="C173" s="57" t="s">
        <v>379</v>
      </c>
      <c r="D173" s="59" t="s">
        <v>241</v>
      </c>
      <c r="E173" s="60" t="str">
        <f ca="1" t="shared" si="2"/>
        <v>av</v>
      </c>
      <c r="F173" s="51">
        <v>14</v>
      </c>
      <c r="G173" s="51" t="s">
        <v>28</v>
      </c>
      <c r="H173" s="51" t="e">
        <v>#N/A</v>
      </c>
    </row>
    <row r="174" s="51" customFormat="1" spans="1:8">
      <c r="A174" s="57" t="s">
        <v>380</v>
      </c>
      <c r="B174" s="58"/>
      <c r="C174" s="57" t="s">
        <v>381</v>
      </c>
      <c r="D174" s="59" t="s">
        <v>241</v>
      </c>
      <c r="E174" s="60" t="str">
        <f ca="1" t="shared" si="2"/>
        <v>av</v>
      </c>
      <c r="F174" s="51">
        <v>14</v>
      </c>
      <c r="G174" s="51" t="s">
        <v>28</v>
      </c>
      <c r="H174" s="51" t="e">
        <v>#N/A</v>
      </c>
    </row>
    <row r="175" s="51" customFormat="1" spans="1:8">
      <c r="A175" s="57" t="s">
        <v>382</v>
      </c>
      <c r="B175" s="58"/>
      <c r="C175" s="57" t="s">
        <v>383</v>
      </c>
      <c r="D175" s="59" t="s">
        <v>241</v>
      </c>
      <c r="E175" s="60" t="str">
        <f ca="1" t="shared" si="2"/>
        <v>av</v>
      </c>
      <c r="F175" s="51">
        <v>14</v>
      </c>
      <c r="G175" s="51" t="s">
        <v>28</v>
      </c>
      <c r="H175" s="51" t="e">
        <v>#N/A</v>
      </c>
    </row>
    <row r="176" s="51" customFormat="1" spans="1:8">
      <c r="A176" s="61" t="s">
        <v>384</v>
      </c>
      <c r="B176" s="58"/>
      <c r="C176" s="57" t="s">
        <v>385</v>
      </c>
      <c r="D176" s="59" t="s">
        <v>241</v>
      </c>
      <c r="E176" s="60" t="str">
        <f ca="1" t="shared" si="2"/>
        <v>AB</v>
      </c>
      <c r="F176" s="51">
        <v>14</v>
      </c>
      <c r="G176" s="51" t="s">
        <v>28</v>
      </c>
      <c r="H176" s="51">
        <v>0</v>
      </c>
    </row>
    <row r="177" s="51" customFormat="1" spans="1:8">
      <c r="A177" s="61" t="s">
        <v>386</v>
      </c>
      <c r="B177" s="58"/>
      <c r="C177" s="57" t="s">
        <v>387</v>
      </c>
      <c r="D177" s="59" t="s">
        <v>241</v>
      </c>
      <c r="E177" s="60" t="str">
        <f ca="1" t="shared" si="2"/>
        <v>AB</v>
      </c>
      <c r="F177" s="51">
        <v>14</v>
      </c>
      <c r="G177" s="51" t="s">
        <v>28</v>
      </c>
      <c r="H177" s="51">
        <v>0</v>
      </c>
    </row>
    <row r="178" s="51" customFormat="1" spans="1:8">
      <c r="A178" s="61" t="s">
        <v>388</v>
      </c>
      <c r="B178" s="58"/>
      <c r="C178" s="57" t="s">
        <v>389</v>
      </c>
      <c r="D178" s="59" t="s">
        <v>241</v>
      </c>
      <c r="E178" s="60" t="str">
        <f ca="1" t="shared" si="2"/>
        <v>AB</v>
      </c>
      <c r="F178" s="51">
        <v>14</v>
      </c>
      <c r="G178" s="51" t="s">
        <v>28</v>
      </c>
      <c r="H178" s="51">
        <v>0</v>
      </c>
    </row>
    <row r="179" s="51" customFormat="1" spans="1:8">
      <c r="A179" s="61" t="s">
        <v>390</v>
      </c>
      <c r="B179" s="58"/>
      <c r="C179" s="57" t="s">
        <v>391</v>
      </c>
      <c r="D179" s="59" t="s">
        <v>241</v>
      </c>
      <c r="E179" s="60" t="str">
        <f ca="1" t="shared" si="2"/>
        <v>AB</v>
      </c>
      <c r="F179" s="51">
        <v>14</v>
      </c>
      <c r="G179" s="51" t="s">
        <v>28</v>
      </c>
      <c r="H179" s="51" t="e">
        <v>#N/A</v>
      </c>
    </row>
    <row r="180" s="51" customFormat="1" spans="1:8">
      <c r="A180" s="61" t="s">
        <v>392</v>
      </c>
      <c r="B180" s="58"/>
      <c r="C180" s="57" t="s">
        <v>393</v>
      </c>
      <c r="D180" s="59" t="s">
        <v>241</v>
      </c>
      <c r="E180" s="60" t="str">
        <f ca="1" t="shared" si="2"/>
        <v>AB</v>
      </c>
      <c r="F180" s="51">
        <v>14</v>
      </c>
      <c r="G180" s="51" t="s">
        <v>28</v>
      </c>
      <c r="H180" s="51">
        <v>0</v>
      </c>
    </row>
    <row r="181" s="51" customFormat="1" spans="1:8">
      <c r="A181" s="61" t="s">
        <v>394</v>
      </c>
      <c r="B181" s="58"/>
      <c r="C181" s="57" t="s">
        <v>395</v>
      </c>
      <c r="D181" s="59" t="s">
        <v>241</v>
      </c>
      <c r="E181" s="60" t="str">
        <f ca="1" t="shared" si="2"/>
        <v>AB</v>
      </c>
      <c r="F181" s="51">
        <v>14</v>
      </c>
      <c r="G181" s="51" t="s">
        <v>28</v>
      </c>
      <c r="H181" s="51">
        <v>0</v>
      </c>
    </row>
    <row r="182" s="51" customFormat="1" spans="1:8">
      <c r="A182" s="61" t="s">
        <v>396</v>
      </c>
      <c r="B182" s="58"/>
      <c r="C182" s="57" t="s">
        <v>397</v>
      </c>
      <c r="D182" s="59" t="s">
        <v>241</v>
      </c>
      <c r="E182" s="60" t="str">
        <f ca="1" t="shared" si="2"/>
        <v>AB</v>
      </c>
      <c r="F182" s="51">
        <v>14</v>
      </c>
      <c r="G182" s="51" t="s">
        <v>28</v>
      </c>
      <c r="H182" s="51" t="e">
        <v>#N/A</v>
      </c>
    </row>
    <row r="183" s="51" customFormat="1" spans="1:8">
      <c r="A183" s="61" t="s">
        <v>398</v>
      </c>
      <c r="B183" s="58"/>
      <c r="C183" s="57" t="s">
        <v>399</v>
      </c>
      <c r="D183" s="59" t="s">
        <v>241</v>
      </c>
      <c r="E183" s="60" t="str">
        <f ca="1" t="shared" si="2"/>
        <v>AB</v>
      </c>
      <c r="F183" s="51">
        <v>14</v>
      </c>
      <c r="G183" s="51" t="s">
        <v>28</v>
      </c>
      <c r="H183" s="51">
        <v>0</v>
      </c>
    </row>
    <row r="184" s="51" customFormat="1" spans="1:8">
      <c r="A184" s="57" t="s">
        <v>400</v>
      </c>
      <c r="B184" s="63" t="s">
        <v>401</v>
      </c>
      <c r="C184" s="57" t="s">
        <v>402</v>
      </c>
      <c r="D184" s="59" t="s">
        <v>241</v>
      </c>
      <c r="E184" s="60" t="str">
        <f ca="1" t="shared" si="2"/>
        <v>CV</v>
      </c>
      <c r="F184" s="51">
        <v>9</v>
      </c>
      <c r="G184" s="51" t="s">
        <v>28</v>
      </c>
      <c r="H184" s="51">
        <v>0</v>
      </c>
    </row>
    <row r="185" spans="1:8">
      <c r="A185" s="57" t="s">
        <v>403</v>
      </c>
      <c r="B185" s="63" t="s">
        <v>401</v>
      </c>
      <c r="C185" s="64" t="s">
        <v>404</v>
      </c>
      <c r="D185" s="59" t="s">
        <v>241</v>
      </c>
      <c r="E185" s="60" t="str">
        <f ca="1" t="shared" si="2"/>
        <v>CV</v>
      </c>
      <c r="F185" s="51">
        <v>9</v>
      </c>
      <c r="G185" s="51" t="s">
        <v>28</v>
      </c>
      <c r="H185" s="51" t="e">
        <v>#N/A</v>
      </c>
    </row>
    <row r="186" s="51" customFormat="1" spans="1:8">
      <c r="A186" s="57" t="s">
        <v>405</v>
      </c>
      <c r="B186" s="63" t="s">
        <v>401</v>
      </c>
      <c r="C186" s="57" t="s">
        <v>406</v>
      </c>
      <c r="D186" s="59" t="s">
        <v>241</v>
      </c>
      <c r="E186" s="60" t="str">
        <f ca="1" t="shared" si="2"/>
        <v>CV</v>
      </c>
      <c r="F186" s="51">
        <v>9</v>
      </c>
      <c r="G186" s="51" t="s">
        <v>28</v>
      </c>
      <c r="H186" s="51">
        <v>0</v>
      </c>
    </row>
    <row r="187" spans="1:8">
      <c r="A187" s="57" t="s">
        <v>407</v>
      </c>
      <c r="B187" s="63"/>
      <c r="C187" s="57" t="s">
        <v>408</v>
      </c>
      <c r="D187" s="59" t="s">
        <v>241</v>
      </c>
      <c r="E187" s="60" t="str">
        <f ca="1" t="shared" si="2"/>
        <v>M5</v>
      </c>
      <c r="F187" s="51">
        <v>50</v>
      </c>
      <c r="G187" s="51" t="s">
        <v>28</v>
      </c>
      <c r="H187" s="51">
        <v>0</v>
      </c>
    </row>
    <row r="188" s="51" customFormat="1" spans="1:8">
      <c r="A188" s="57" t="s">
        <v>409</v>
      </c>
      <c r="B188" s="63" t="s">
        <v>401</v>
      </c>
      <c r="C188" s="57" t="s">
        <v>410</v>
      </c>
      <c r="D188" s="59" t="s">
        <v>241</v>
      </c>
      <c r="E188" s="60" t="str">
        <f ca="1" t="shared" si="2"/>
        <v>CV</v>
      </c>
      <c r="F188" s="51">
        <v>9</v>
      </c>
      <c r="G188" s="51" t="s">
        <v>28</v>
      </c>
      <c r="H188" s="51" t="s">
        <v>241</v>
      </c>
    </row>
    <row r="189" s="51" customFormat="1" spans="1:8">
      <c r="A189" s="57" t="s">
        <v>411</v>
      </c>
      <c r="B189" s="117" t="s">
        <v>412</v>
      </c>
      <c r="C189" s="57" t="s">
        <v>413</v>
      </c>
      <c r="D189" s="59" t="s">
        <v>241</v>
      </c>
      <c r="E189" s="60" t="str">
        <f ca="1" t="shared" si="2"/>
        <v>CV</v>
      </c>
      <c r="F189" s="51">
        <v>8</v>
      </c>
      <c r="G189" s="51" t="s">
        <v>28</v>
      </c>
      <c r="H189" s="51">
        <v>0</v>
      </c>
    </row>
    <row r="190" s="51" customFormat="1" spans="1:8">
      <c r="A190" s="57" t="s">
        <v>414</v>
      </c>
      <c r="B190" s="117" t="s">
        <v>412</v>
      </c>
      <c r="C190" s="57" t="s">
        <v>415</v>
      </c>
      <c r="D190" s="59" t="s">
        <v>241</v>
      </c>
      <c r="E190" s="60" t="str">
        <f ca="1" t="shared" si="2"/>
        <v>cv</v>
      </c>
      <c r="F190" s="51">
        <v>8</v>
      </c>
      <c r="G190" s="51" t="s">
        <v>28</v>
      </c>
      <c r="H190" s="51" t="e">
        <v>#N/A</v>
      </c>
    </row>
    <row r="191" s="51" customFormat="1" spans="1:8">
      <c r="A191" s="57" t="s">
        <v>416</v>
      </c>
      <c r="B191" s="117" t="s">
        <v>412</v>
      </c>
      <c r="C191" s="57" t="s">
        <v>417</v>
      </c>
      <c r="D191" s="59" t="s">
        <v>241</v>
      </c>
      <c r="E191" s="60" t="str">
        <f ca="1" t="shared" si="2"/>
        <v>cv</v>
      </c>
      <c r="F191" s="51">
        <v>8</v>
      </c>
      <c r="G191" s="51" t="s">
        <v>28</v>
      </c>
      <c r="H191" s="51">
        <v>0</v>
      </c>
    </row>
    <row r="192" s="51" customFormat="1" spans="1:8">
      <c r="A192" s="57" t="s">
        <v>418</v>
      </c>
      <c r="B192" s="63"/>
      <c r="C192" s="57" t="s">
        <v>419</v>
      </c>
      <c r="D192" s="59" t="s">
        <v>241</v>
      </c>
      <c r="E192" s="60" t="str">
        <f ca="1" t="shared" si="2"/>
        <v>cv</v>
      </c>
      <c r="F192" s="51">
        <v>8</v>
      </c>
      <c r="G192" s="51" t="s">
        <v>28</v>
      </c>
      <c r="H192" s="51">
        <v>0</v>
      </c>
    </row>
    <row r="193" s="51" customFormat="1" spans="1:8">
      <c r="A193" s="57" t="s">
        <v>420</v>
      </c>
      <c r="B193" s="63"/>
      <c r="C193" s="57" t="s">
        <v>421</v>
      </c>
      <c r="D193" s="59" t="s">
        <v>241</v>
      </c>
      <c r="E193" s="60" t="str">
        <f ca="1" t="shared" si="2"/>
        <v>cv</v>
      </c>
      <c r="F193" s="51">
        <v>8</v>
      </c>
      <c r="G193" s="51" t="s">
        <v>28</v>
      </c>
      <c r="H193" s="51" t="s">
        <v>241</v>
      </c>
    </row>
    <row r="194" s="51" customFormat="1" spans="1:8">
      <c r="A194" s="57" t="s">
        <v>422</v>
      </c>
      <c r="B194" s="63"/>
      <c r="C194" s="57" t="s">
        <v>423</v>
      </c>
      <c r="D194" s="59" t="s">
        <v>241</v>
      </c>
      <c r="E194" s="60" t="str">
        <f ca="1" t="shared" si="2"/>
        <v>cv</v>
      </c>
      <c r="F194" s="51">
        <v>8</v>
      </c>
      <c r="G194" s="51" t="s">
        <v>28</v>
      </c>
      <c r="H194" s="51" t="s">
        <v>241</v>
      </c>
    </row>
    <row r="195" s="51" customFormat="1" spans="1:8">
      <c r="A195" s="57" t="s">
        <v>424</v>
      </c>
      <c r="B195" s="63"/>
      <c r="C195" s="57" t="s">
        <v>425</v>
      </c>
      <c r="D195" s="59" t="s">
        <v>241</v>
      </c>
      <c r="E195" s="60" t="str">
        <f ca="1" t="shared" ref="E195:E258" si="3">LEFT(A195,2)</f>
        <v>cv</v>
      </c>
      <c r="F195" s="51">
        <v>8</v>
      </c>
      <c r="G195" s="51" t="s">
        <v>28</v>
      </c>
      <c r="H195" s="51" t="s">
        <v>241</v>
      </c>
    </row>
    <row r="196" s="51" customFormat="1" spans="1:8">
      <c r="A196" s="57" t="s">
        <v>426</v>
      </c>
      <c r="B196" s="63"/>
      <c r="C196" s="57" t="s">
        <v>427</v>
      </c>
      <c r="D196" s="59" t="s">
        <v>241</v>
      </c>
      <c r="E196" s="60" t="str">
        <f ca="1" t="shared" si="3"/>
        <v>cv</v>
      </c>
      <c r="F196" s="51">
        <v>8</v>
      </c>
      <c r="G196" s="51" t="s">
        <v>28</v>
      </c>
      <c r="H196" s="51">
        <v>0</v>
      </c>
    </row>
    <row r="197" s="51" customFormat="1" spans="1:8">
      <c r="A197" s="57" t="s">
        <v>428</v>
      </c>
      <c r="B197" s="58"/>
      <c r="C197" s="57" t="s">
        <v>429</v>
      </c>
      <c r="D197" s="59" t="s">
        <v>241</v>
      </c>
      <c r="E197" s="60" t="str">
        <f ca="1" t="shared" si="3"/>
        <v>cv</v>
      </c>
      <c r="F197" s="51">
        <v>8</v>
      </c>
      <c r="G197" s="51" t="s">
        <v>28</v>
      </c>
      <c r="H197" s="51" t="s">
        <v>241</v>
      </c>
    </row>
    <row r="198" s="51" customFormat="1" spans="1:8">
      <c r="A198" s="57" t="s">
        <v>430</v>
      </c>
      <c r="B198" s="58"/>
      <c r="C198" s="57" t="s">
        <v>431</v>
      </c>
      <c r="D198" s="59" t="s">
        <v>241</v>
      </c>
      <c r="E198" s="60" t="str">
        <f ca="1" t="shared" si="3"/>
        <v>cv</v>
      </c>
      <c r="F198" s="51">
        <v>8</v>
      </c>
      <c r="G198" s="51" t="s">
        <v>28</v>
      </c>
      <c r="H198" s="51" t="s">
        <v>241</v>
      </c>
    </row>
    <row r="199" s="51" customFormat="1" spans="1:8">
      <c r="A199" s="57" t="s">
        <v>432</v>
      </c>
      <c r="B199" s="58"/>
      <c r="C199" s="57" t="s">
        <v>433</v>
      </c>
      <c r="D199" s="59" t="s">
        <v>241</v>
      </c>
      <c r="E199" s="60" t="str">
        <f ca="1" t="shared" si="3"/>
        <v>cv</v>
      </c>
      <c r="F199" s="51">
        <v>8</v>
      </c>
      <c r="G199" s="51" t="s">
        <v>28</v>
      </c>
      <c r="H199" s="51" t="s">
        <v>241</v>
      </c>
    </row>
    <row r="200" s="51" customFormat="1" spans="1:8">
      <c r="A200" s="57" t="s">
        <v>434</v>
      </c>
      <c r="B200" s="58"/>
      <c r="C200" s="57" t="s">
        <v>435</v>
      </c>
      <c r="D200" s="59" t="s">
        <v>241</v>
      </c>
      <c r="E200" s="60" t="str">
        <f ca="1" t="shared" si="3"/>
        <v>cv</v>
      </c>
      <c r="F200" s="51">
        <v>8</v>
      </c>
      <c r="G200" s="51" t="s">
        <v>28</v>
      </c>
      <c r="H200" s="51" t="s">
        <v>241</v>
      </c>
    </row>
    <row r="201" s="51" customFormat="1" spans="1:8">
      <c r="A201" s="57" t="s">
        <v>436</v>
      </c>
      <c r="B201" s="58"/>
      <c r="C201" s="57" t="s">
        <v>437</v>
      </c>
      <c r="D201" s="59" t="s">
        <v>241</v>
      </c>
      <c r="E201" s="60" t="str">
        <f ca="1" t="shared" si="3"/>
        <v>cv</v>
      </c>
      <c r="F201" s="51">
        <v>8</v>
      </c>
      <c r="G201" s="51" t="s">
        <v>28</v>
      </c>
      <c r="H201" s="51" t="e">
        <v>#N/A</v>
      </c>
    </row>
    <row r="202" s="51" customFormat="1" spans="1:8">
      <c r="A202" s="57" t="s">
        <v>438</v>
      </c>
      <c r="B202" s="58"/>
      <c r="C202" s="57" t="s">
        <v>439</v>
      </c>
      <c r="D202" s="59" t="s">
        <v>241</v>
      </c>
      <c r="E202" s="60" t="str">
        <f ca="1" t="shared" si="3"/>
        <v>cv</v>
      </c>
      <c r="F202" s="51">
        <v>8</v>
      </c>
      <c r="G202" s="51" t="s">
        <v>28</v>
      </c>
      <c r="H202" s="51" t="s">
        <v>241</v>
      </c>
    </row>
    <row r="203" s="51" customFormat="1" spans="1:8">
      <c r="A203" s="57" t="s">
        <v>440</v>
      </c>
      <c r="B203" s="58"/>
      <c r="C203" s="57" t="s">
        <v>441</v>
      </c>
      <c r="D203" s="59" t="s">
        <v>241</v>
      </c>
      <c r="E203" s="60" t="str">
        <f ca="1" t="shared" si="3"/>
        <v>cv</v>
      </c>
      <c r="F203" s="51">
        <v>8</v>
      </c>
      <c r="G203" s="51" t="s">
        <v>28</v>
      </c>
      <c r="H203" s="51" t="s">
        <v>241</v>
      </c>
    </row>
    <row r="204" s="51" customFormat="1" spans="1:8">
      <c r="A204" s="57" t="s">
        <v>442</v>
      </c>
      <c r="B204" s="58"/>
      <c r="C204" s="57" t="s">
        <v>443</v>
      </c>
      <c r="D204" s="59" t="s">
        <v>241</v>
      </c>
      <c r="E204" s="60" t="str">
        <f ca="1" t="shared" si="3"/>
        <v>cv</v>
      </c>
      <c r="F204" s="51">
        <v>8</v>
      </c>
      <c r="G204" s="51" t="s">
        <v>28</v>
      </c>
      <c r="H204" s="51" t="e">
        <v>#N/A</v>
      </c>
    </row>
    <row r="205" spans="1:8">
      <c r="A205" s="57" t="s">
        <v>444</v>
      </c>
      <c r="B205" s="58"/>
      <c r="C205" s="57" t="s">
        <v>445</v>
      </c>
      <c r="D205" s="59" t="s">
        <v>241</v>
      </c>
      <c r="E205" s="60" t="str">
        <f ca="1" t="shared" si="3"/>
        <v>ac</v>
      </c>
      <c r="F205" s="51">
        <v>13</v>
      </c>
      <c r="G205" s="51" t="s">
        <v>28</v>
      </c>
      <c r="H205" s="51" t="e">
        <v>#N/A</v>
      </c>
    </row>
    <row r="206" spans="1:8">
      <c r="A206" s="57" t="s">
        <v>446</v>
      </c>
      <c r="B206" s="58"/>
      <c r="C206" s="57" t="s">
        <v>447</v>
      </c>
      <c r="D206" s="59" t="s">
        <v>241</v>
      </c>
      <c r="E206" s="60" t="str">
        <f ca="1" t="shared" si="3"/>
        <v>ac</v>
      </c>
      <c r="F206" s="51">
        <v>13</v>
      </c>
      <c r="G206" s="51" t="s">
        <v>28</v>
      </c>
      <c r="H206" s="51" t="e">
        <v>#N/A</v>
      </c>
    </row>
    <row r="207" spans="1:8">
      <c r="A207" s="57" t="s">
        <v>448</v>
      </c>
      <c r="B207" s="58"/>
      <c r="C207" s="57" t="s">
        <v>449</v>
      </c>
      <c r="D207" s="59" t="s">
        <v>241</v>
      </c>
      <c r="E207" s="60" t="str">
        <f ca="1" t="shared" si="3"/>
        <v>ac</v>
      </c>
      <c r="F207" s="51">
        <v>13</v>
      </c>
      <c r="G207" s="51" t="s">
        <v>28</v>
      </c>
      <c r="H207" s="51" t="e">
        <v>#N/A</v>
      </c>
    </row>
    <row r="208" spans="1:8">
      <c r="A208" s="57" t="s">
        <v>450</v>
      </c>
      <c r="B208" s="58"/>
      <c r="C208" s="57" t="s">
        <v>451</v>
      </c>
      <c r="D208" s="59" t="s">
        <v>241</v>
      </c>
      <c r="E208" s="60" t="str">
        <f ca="1" t="shared" si="3"/>
        <v>ac</v>
      </c>
      <c r="F208" s="51">
        <v>13</v>
      </c>
      <c r="G208" s="51" t="s">
        <v>28</v>
      </c>
      <c r="H208" s="51" t="e">
        <v>#N/A</v>
      </c>
    </row>
    <row r="209" spans="1:8">
      <c r="A209" s="57" t="s">
        <v>452</v>
      </c>
      <c r="B209" s="58"/>
      <c r="C209" s="57" t="s">
        <v>453</v>
      </c>
      <c r="D209" s="59" t="s">
        <v>241</v>
      </c>
      <c r="E209" s="60" t="str">
        <f ca="1" t="shared" si="3"/>
        <v>ac</v>
      </c>
      <c r="F209" s="51">
        <v>13</v>
      </c>
      <c r="G209" s="51" t="s">
        <v>28</v>
      </c>
      <c r="H209" s="51" t="e">
        <v>#N/A</v>
      </c>
    </row>
    <row r="210" spans="1:8">
      <c r="A210" s="57" t="s">
        <v>454</v>
      </c>
      <c r="B210" s="58"/>
      <c r="C210" s="57" t="s">
        <v>455</v>
      </c>
      <c r="D210" s="59" t="s">
        <v>241</v>
      </c>
      <c r="E210" s="60" t="str">
        <f ca="1" t="shared" si="3"/>
        <v>ac</v>
      </c>
      <c r="F210" s="51">
        <v>13</v>
      </c>
      <c r="G210" s="51" t="s">
        <v>28</v>
      </c>
      <c r="H210" s="51" t="e">
        <v>#N/A</v>
      </c>
    </row>
    <row r="211" spans="1:8">
      <c r="A211" s="57" t="s">
        <v>456</v>
      </c>
      <c r="B211" s="58"/>
      <c r="C211" s="57" t="s">
        <v>457</v>
      </c>
      <c r="D211" s="59" t="s">
        <v>241</v>
      </c>
      <c r="E211" s="60" t="str">
        <f ca="1" t="shared" si="3"/>
        <v>ac</v>
      </c>
      <c r="F211" s="51">
        <v>13</v>
      </c>
      <c r="G211" s="51" t="s">
        <v>28</v>
      </c>
      <c r="H211" s="51" t="e">
        <v>#N/A</v>
      </c>
    </row>
    <row r="212" spans="1:8">
      <c r="A212" s="57" t="s">
        <v>458</v>
      </c>
      <c r="B212" s="58"/>
      <c r="C212" s="57" t="s">
        <v>459</v>
      </c>
      <c r="D212" s="59" t="s">
        <v>241</v>
      </c>
      <c r="E212" s="60" t="str">
        <f ca="1" t="shared" si="3"/>
        <v>ac</v>
      </c>
      <c r="F212" s="51">
        <v>13</v>
      </c>
      <c r="G212" s="51" t="s">
        <v>28</v>
      </c>
      <c r="H212" s="51" t="e">
        <v>#N/A</v>
      </c>
    </row>
    <row r="213" s="51" customFormat="1" spans="1:8">
      <c r="A213" s="57" t="s">
        <v>460</v>
      </c>
      <c r="B213" s="58"/>
      <c r="C213" s="57" t="s">
        <v>461</v>
      </c>
      <c r="D213" s="59" t="s">
        <v>227</v>
      </c>
      <c r="E213" s="60" t="str">
        <f ca="1" t="shared" si="3"/>
        <v>A3</v>
      </c>
      <c r="F213" s="51">
        <v>14</v>
      </c>
      <c r="G213" s="51" t="s">
        <v>28</v>
      </c>
      <c r="H213" s="51" t="e">
        <v>#N/A</v>
      </c>
    </row>
    <row r="214" s="51" customFormat="1" spans="1:8">
      <c r="A214" s="57" t="s">
        <v>462</v>
      </c>
      <c r="B214" s="58"/>
      <c r="C214" s="57" t="s">
        <v>463</v>
      </c>
      <c r="D214" s="59" t="s">
        <v>227</v>
      </c>
      <c r="E214" s="60" t="str">
        <f ca="1" t="shared" si="3"/>
        <v>A5</v>
      </c>
      <c r="F214" s="51">
        <v>14</v>
      </c>
      <c r="G214" s="51" t="s">
        <v>28</v>
      </c>
      <c r="H214" s="51" t="e">
        <v>#N/A</v>
      </c>
    </row>
    <row r="215" s="51" customFormat="1" spans="1:8">
      <c r="A215" s="57" t="s">
        <v>464</v>
      </c>
      <c r="B215" s="58"/>
      <c r="C215" s="57" t="s">
        <v>465</v>
      </c>
      <c r="D215" s="59" t="s">
        <v>227</v>
      </c>
      <c r="E215" s="60" t="str">
        <f ca="1" t="shared" si="3"/>
        <v>A7</v>
      </c>
      <c r="F215" s="51">
        <v>14</v>
      </c>
      <c r="G215" s="51" t="s">
        <v>28</v>
      </c>
      <c r="H215" s="51" t="e">
        <v>#N/A</v>
      </c>
    </row>
    <row r="216" s="51" customFormat="1" spans="1:8">
      <c r="A216" s="57" t="s">
        <v>466</v>
      </c>
      <c r="B216" s="58"/>
      <c r="C216" s="57" t="s">
        <v>467</v>
      </c>
      <c r="D216" s="59" t="s">
        <v>227</v>
      </c>
      <c r="E216" s="60" t="str">
        <f ca="1" t="shared" si="3"/>
        <v>A9</v>
      </c>
      <c r="F216" s="51">
        <v>14</v>
      </c>
      <c r="G216" s="51" t="s">
        <v>28</v>
      </c>
      <c r="H216" s="51" t="e">
        <v>#N/A</v>
      </c>
    </row>
    <row r="217" s="51" customFormat="1" spans="1:8">
      <c r="A217" s="57" t="s">
        <v>468</v>
      </c>
      <c r="B217" s="58"/>
      <c r="C217" s="57" t="s">
        <v>469</v>
      </c>
      <c r="D217" s="59" t="s">
        <v>227</v>
      </c>
      <c r="E217" s="60" t="str">
        <f ca="1" t="shared" si="3"/>
        <v>A1</v>
      </c>
      <c r="F217" s="51">
        <v>14</v>
      </c>
      <c r="G217" s="51" t="s">
        <v>28</v>
      </c>
      <c r="H217" s="51" t="e">
        <v>#N/A</v>
      </c>
    </row>
    <row r="218" s="51" customFormat="1" spans="1:8">
      <c r="A218" s="57" t="s">
        <v>470</v>
      </c>
      <c r="B218" s="58"/>
      <c r="C218" s="57" t="s">
        <v>471</v>
      </c>
      <c r="D218" s="59" t="s">
        <v>227</v>
      </c>
      <c r="E218" s="60" t="str">
        <f ca="1" t="shared" si="3"/>
        <v>A1</v>
      </c>
      <c r="F218" s="51">
        <v>14</v>
      </c>
      <c r="G218" s="51" t="s">
        <v>28</v>
      </c>
      <c r="H218" s="51" t="e">
        <v>#N/A</v>
      </c>
    </row>
    <row r="219" s="51" customFormat="1" spans="1:8">
      <c r="A219" s="57" t="s">
        <v>472</v>
      </c>
      <c r="B219" s="58"/>
      <c r="C219" s="57" t="s">
        <v>473</v>
      </c>
      <c r="D219" s="59" t="s">
        <v>227</v>
      </c>
      <c r="E219" s="60" t="str">
        <f ca="1" t="shared" si="3"/>
        <v>A1</v>
      </c>
      <c r="F219" s="51">
        <v>14</v>
      </c>
      <c r="G219" s="51" t="s">
        <v>28</v>
      </c>
      <c r="H219" s="51" t="e">
        <v>#N/A</v>
      </c>
    </row>
    <row r="220" s="51" customFormat="1" spans="1:8">
      <c r="A220" s="57" t="s">
        <v>474</v>
      </c>
      <c r="B220" s="58"/>
      <c r="C220" s="57" t="s">
        <v>475</v>
      </c>
      <c r="D220" s="59" t="s">
        <v>227</v>
      </c>
      <c r="E220" s="60" t="str">
        <f ca="1" t="shared" si="3"/>
        <v>A2</v>
      </c>
      <c r="F220" s="51">
        <v>14</v>
      </c>
      <c r="G220" s="51" t="s">
        <v>28</v>
      </c>
      <c r="H220" s="51" t="e">
        <v>#N/A</v>
      </c>
    </row>
    <row r="221" spans="1:8">
      <c r="A221" s="118" t="s">
        <v>476</v>
      </c>
      <c r="B221" s="58"/>
      <c r="C221" s="57" t="s">
        <v>477</v>
      </c>
      <c r="D221" s="59" t="s">
        <v>227</v>
      </c>
      <c r="E221" s="60" t="str">
        <f ca="1" t="shared" si="3"/>
        <v>C3</v>
      </c>
      <c r="F221" s="51">
        <v>16</v>
      </c>
      <c r="G221" s="51" t="s">
        <v>28</v>
      </c>
      <c r="H221" s="51">
        <v>5</v>
      </c>
    </row>
    <row r="222" spans="1:8">
      <c r="A222" s="118" t="s">
        <v>478</v>
      </c>
      <c r="B222" s="58"/>
      <c r="C222" s="57" t="s">
        <v>479</v>
      </c>
      <c r="D222" s="59" t="s">
        <v>227</v>
      </c>
      <c r="E222" s="60" t="str">
        <f ca="1" t="shared" si="3"/>
        <v>C5</v>
      </c>
      <c r="F222" s="51">
        <v>16</v>
      </c>
      <c r="G222" s="51" t="s">
        <v>28</v>
      </c>
      <c r="H222" s="51">
        <v>5.54</v>
      </c>
    </row>
    <row r="223" spans="1:8">
      <c r="A223" s="57" t="s">
        <v>480</v>
      </c>
      <c r="B223" s="58"/>
      <c r="C223" s="57" t="s">
        <v>481</v>
      </c>
      <c r="D223" s="59" t="s">
        <v>27</v>
      </c>
      <c r="E223" s="60" t="str">
        <f ca="1" t="shared" si="3"/>
        <v>CS</v>
      </c>
      <c r="F223" s="51">
        <v>50</v>
      </c>
      <c r="G223" s="51" t="s">
        <v>28</v>
      </c>
      <c r="H223" s="51">
        <v>1</v>
      </c>
    </row>
    <row r="224" spans="1:8">
      <c r="A224" s="57" t="s">
        <v>482</v>
      </c>
      <c r="B224" s="58"/>
      <c r="C224" s="57" t="s">
        <v>483</v>
      </c>
      <c r="D224" s="59" t="s">
        <v>27</v>
      </c>
      <c r="E224" s="60" t="str">
        <f ca="1" t="shared" si="3"/>
        <v>CS</v>
      </c>
      <c r="F224" s="51">
        <v>50</v>
      </c>
      <c r="G224" s="51" t="s">
        <v>28</v>
      </c>
      <c r="H224" s="51">
        <v>0</v>
      </c>
    </row>
    <row r="225" spans="1:8">
      <c r="A225" s="116" t="s">
        <v>484</v>
      </c>
      <c r="B225" s="58"/>
      <c r="C225" s="57" t="s">
        <v>485</v>
      </c>
      <c r="D225" s="59" t="s">
        <v>27</v>
      </c>
      <c r="E225" s="60" t="str">
        <f ca="1" t="shared" si="3"/>
        <v>CS</v>
      </c>
      <c r="F225" s="51">
        <v>50</v>
      </c>
      <c r="G225" s="51" t="s">
        <v>28</v>
      </c>
      <c r="H225" s="51">
        <v>0</v>
      </c>
    </row>
    <row r="226" spans="1:8">
      <c r="A226" s="57" t="s">
        <v>486</v>
      </c>
      <c r="B226" s="58"/>
      <c r="C226" s="57" t="s">
        <v>487</v>
      </c>
      <c r="D226" s="59" t="s">
        <v>227</v>
      </c>
      <c r="E226" s="60" t="str">
        <f ca="1" t="shared" si="3"/>
        <v>DA</v>
      </c>
      <c r="F226" s="51">
        <v>50</v>
      </c>
      <c r="G226" s="51" t="s">
        <v>28</v>
      </c>
      <c r="H226" s="51">
        <v>0</v>
      </c>
    </row>
    <row r="227" spans="1:8">
      <c r="A227" s="57" t="s">
        <v>488</v>
      </c>
      <c r="B227" s="58"/>
      <c r="C227" s="57" t="s">
        <v>489</v>
      </c>
      <c r="D227" s="59" t="s">
        <v>227</v>
      </c>
      <c r="E227" s="60" t="str">
        <f ca="1" t="shared" si="3"/>
        <v>DA</v>
      </c>
      <c r="F227" s="51">
        <v>50</v>
      </c>
      <c r="G227" s="51" t="s">
        <v>28</v>
      </c>
      <c r="H227" s="51">
        <v>0</v>
      </c>
    </row>
    <row r="228" spans="1:8">
      <c r="A228" s="57" t="s">
        <v>490</v>
      </c>
      <c r="B228" s="58" t="s">
        <v>491</v>
      </c>
      <c r="C228" s="57" t="s">
        <v>492</v>
      </c>
      <c r="D228" s="59" t="s">
        <v>57</v>
      </c>
      <c r="E228" s="60" t="str">
        <f ca="1" t="shared" si="3"/>
        <v>GD</v>
      </c>
      <c r="F228" s="51">
        <v>50</v>
      </c>
      <c r="G228" s="51" t="s">
        <v>28</v>
      </c>
      <c r="H228" s="51">
        <v>0</v>
      </c>
    </row>
    <row r="229" spans="1:8">
      <c r="A229" s="57" t="s">
        <v>493</v>
      </c>
      <c r="B229" s="58" t="s">
        <v>491</v>
      </c>
      <c r="C229" s="57" t="s">
        <v>494</v>
      </c>
      <c r="D229" s="59" t="s">
        <v>57</v>
      </c>
      <c r="E229" s="60" t="str">
        <f ca="1" t="shared" si="3"/>
        <v>GU</v>
      </c>
      <c r="F229" s="51">
        <v>50</v>
      </c>
      <c r="G229" s="51" t="s">
        <v>28</v>
      </c>
      <c r="H229" s="51">
        <v>0</v>
      </c>
    </row>
    <row r="230" spans="1:8">
      <c r="A230" s="57" t="s">
        <v>495</v>
      </c>
      <c r="B230" s="58" t="s">
        <v>496</v>
      </c>
      <c r="C230" s="57" t="s">
        <v>497</v>
      </c>
      <c r="D230" s="59" t="s">
        <v>498</v>
      </c>
      <c r="E230" s="60" t="str">
        <f ca="1" t="shared" si="3"/>
        <v>GI</v>
      </c>
      <c r="F230" s="51">
        <v>50</v>
      </c>
      <c r="G230" s="51" t="s">
        <v>28</v>
      </c>
      <c r="H230" s="51">
        <v>0</v>
      </c>
    </row>
    <row r="231" s="51" customFormat="1" spans="1:8">
      <c r="A231" s="57" t="s">
        <v>499</v>
      </c>
      <c r="B231" s="58"/>
      <c r="C231" s="57" t="s">
        <v>500</v>
      </c>
      <c r="D231" s="59" t="s">
        <v>57</v>
      </c>
      <c r="E231" s="60" t="str">
        <f ca="1" t="shared" si="3"/>
        <v>Gi</v>
      </c>
      <c r="F231" s="51">
        <v>50</v>
      </c>
      <c r="G231" s="51" t="s">
        <v>28</v>
      </c>
      <c r="H231" s="51" t="e">
        <v>#N/A</v>
      </c>
    </row>
    <row r="232" s="51" customFormat="1" spans="1:8">
      <c r="A232" s="57" t="s">
        <v>501</v>
      </c>
      <c r="B232" s="58"/>
      <c r="C232" s="57" t="s">
        <v>500</v>
      </c>
      <c r="D232" s="59" t="s">
        <v>57</v>
      </c>
      <c r="E232" s="60" t="str">
        <f ca="1" t="shared" si="3"/>
        <v>Gi</v>
      </c>
      <c r="F232" s="51">
        <v>50</v>
      </c>
      <c r="G232" s="51" t="s">
        <v>28</v>
      </c>
      <c r="H232" s="51" t="e">
        <v>#N/A</v>
      </c>
    </row>
    <row r="233" spans="1:8">
      <c r="A233" s="57" t="s">
        <v>502</v>
      </c>
      <c r="B233" s="58"/>
      <c r="C233" s="57" t="s">
        <v>500</v>
      </c>
      <c r="D233" s="59" t="s">
        <v>57</v>
      </c>
      <c r="E233" s="60" t="str">
        <f ca="1" t="shared" si="3"/>
        <v>Gi</v>
      </c>
      <c r="F233" s="51">
        <v>50</v>
      </c>
      <c r="G233" s="51" t="s">
        <v>28</v>
      </c>
      <c r="H233" s="51" t="s">
        <v>57</v>
      </c>
    </row>
    <row r="234" spans="1:8">
      <c r="A234" s="57" t="s">
        <v>503</v>
      </c>
      <c r="B234" s="58"/>
      <c r="C234" s="57" t="s">
        <v>504</v>
      </c>
      <c r="D234" s="59" t="s">
        <v>227</v>
      </c>
      <c r="E234" s="60" t="str">
        <f ca="1" t="shared" si="3"/>
        <v>GC</v>
      </c>
      <c r="F234" s="51">
        <v>2000</v>
      </c>
      <c r="G234" s="51" t="s">
        <v>28</v>
      </c>
      <c r="H234" s="51" t="e">
        <v>#N/A</v>
      </c>
    </row>
    <row r="235" spans="1:8">
      <c r="A235" s="57" t="s">
        <v>505</v>
      </c>
      <c r="B235" s="58"/>
      <c r="C235" s="57" t="s">
        <v>506</v>
      </c>
      <c r="D235" s="59" t="s">
        <v>507</v>
      </c>
      <c r="E235" s="60" t="str">
        <f ca="1" t="shared" si="3"/>
        <v>G</v>
      </c>
      <c r="F235" s="51">
        <v>2000</v>
      </c>
      <c r="G235" s="51" t="s">
        <v>28</v>
      </c>
      <c r="H235" s="51">
        <v>1</v>
      </c>
    </row>
    <row r="236" spans="1:8">
      <c r="A236" s="57" t="s">
        <v>508</v>
      </c>
      <c r="B236" s="58"/>
      <c r="C236" s="57" t="s">
        <v>509</v>
      </c>
      <c r="D236" s="59" t="s">
        <v>27</v>
      </c>
      <c r="E236" s="60" t="str">
        <f ca="1" t="shared" si="3"/>
        <v>K3</v>
      </c>
      <c r="F236" s="51">
        <v>50</v>
      </c>
      <c r="G236" s="51" t="s">
        <v>28</v>
      </c>
      <c r="H236" s="51">
        <v>4</v>
      </c>
    </row>
    <row r="237" spans="1:8">
      <c r="A237" s="116" t="s">
        <v>510</v>
      </c>
      <c r="B237" s="58"/>
      <c r="C237" s="57" t="s">
        <v>511</v>
      </c>
      <c r="D237" s="59" t="s">
        <v>512</v>
      </c>
      <c r="E237" s="60" t="str">
        <f ca="1" t="shared" si="3"/>
        <v>CT</v>
      </c>
      <c r="F237" s="51">
        <v>50</v>
      </c>
      <c r="G237" s="51" t="s">
        <v>28</v>
      </c>
      <c r="H237" s="51" t="e">
        <v>#N/A</v>
      </c>
    </row>
    <row r="238" spans="1:8">
      <c r="A238" s="116" t="s">
        <v>513</v>
      </c>
      <c r="B238" s="58"/>
      <c r="C238" s="57" t="s">
        <v>514</v>
      </c>
      <c r="D238" s="59" t="s">
        <v>57</v>
      </c>
      <c r="E238" s="60" t="str">
        <f ca="1" t="shared" si="3"/>
        <v>CT</v>
      </c>
      <c r="F238" s="51">
        <v>50</v>
      </c>
      <c r="G238" s="51" t="s">
        <v>28</v>
      </c>
      <c r="H238" s="51">
        <v>1</v>
      </c>
    </row>
    <row r="239" spans="1:8">
      <c r="A239" s="57" t="s">
        <v>515</v>
      </c>
      <c r="B239" s="58"/>
      <c r="C239" s="57" t="s">
        <v>516</v>
      </c>
      <c r="D239" s="59" t="s">
        <v>27</v>
      </c>
      <c r="E239" s="60" t="str">
        <f ca="1" t="shared" si="3"/>
        <v>K-</v>
      </c>
      <c r="F239" s="51">
        <v>50</v>
      </c>
      <c r="G239" s="51" t="s">
        <v>28</v>
      </c>
      <c r="H239" s="51" t="e">
        <v>#N/A</v>
      </c>
    </row>
    <row r="240" spans="1:8">
      <c r="A240" s="57" t="s">
        <v>517</v>
      </c>
      <c r="B240" s="58"/>
      <c r="C240" s="57" t="s">
        <v>518</v>
      </c>
      <c r="D240" s="59" t="s">
        <v>27</v>
      </c>
      <c r="E240" s="60" t="str">
        <f ca="1" t="shared" si="3"/>
        <v>K-</v>
      </c>
      <c r="F240" s="51">
        <v>50</v>
      </c>
      <c r="G240" s="51" t="s">
        <v>28</v>
      </c>
      <c r="H240" s="51" t="e">
        <v>#N/A</v>
      </c>
    </row>
    <row r="241" s="51" customFormat="1" spans="1:8">
      <c r="A241" s="116" t="s">
        <v>519</v>
      </c>
      <c r="B241" s="58"/>
      <c r="C241" s="57" t="s">
        <v>520</v>
      </c>
      <c r="D241" s="59" t="s">
        <v>27</v>
      </c>
      <c r="E241" s="60" t="str">
        <f ca="1" t="shared" si="3"/>
        <v>K3</v>
      </c>
      <c r="F241" s="51">
        <v>50</v>
      </c>
      <c r="G241" s="51" t="s">
        <v>28</v>
      </c>
      <c r="H241" s="51" t="e">
        <v>#N/A</v>
      </c>
    </row>
    <row r="242" s="51" customFormat="1" spans="1:8">
      <c r="A242" s="116" t="s">
        <v>521</v>
      </c>
      <c r="B242" s="58"/>
      <c r="C242" s="57" t="s">
        <v>522</v>
      </c>
      <c r="D242" s="59" t="s">
        <v>27</v>
      </c>
      <c r="E242" s="60" t="str">
        <f ca="1" t="shared" si="3"/>
        <v>K5</v>
      </c>
      <c r="F242" s="51">
        <v>50</v>
      </c>
      <c r="G242" s="51" t="s">
        <v>28</v>
      </c>
      <c r="H242" s="51">
        <v>0</v>
      </c>
    </row>
    <row r="243" s="51" customFormat="1" spans="1:8">
      <c r="A243" s="57" t="s">
        <v>523</v>
      </c>
      <c r="B243" s="58"/>
      <c r="C243" s="57" t="s">
        <v>524</v>
      </c>
      <c r="D243" s="59" t="s">
        <v>27</v>
      </c>
      <c r="E243" s="60" t="str">
        <f ca="1" t="shared" si="3"/>
        <v>K7</v>
      </c>
      <c r="F243" s="51">
        <v>50</v>
      </c>
      <c r="G243" s="51" t="s">
        <v>28</v>
      </c>
      <c r="H243" s="51">
        <v>0</v>
      </c>
    </row>
    <row r="244" s="51" customFormat="1" spans="1:8">
      <c r="A244" s="57" t="s">
        <v>525</v>
      </c>
      <c r="B244" s="58"/>
      <c r="C244" s="57" t="s">
        <v>526</v>
      </c>
      <c r="D244" s="59" t="s">
        <v>27</v>
      </c>
      <c r="E244" s="60" t="str">
        <f ca="1" t="shared" si="3"/>
        <v>K9</v>
      </c>
      <c r="F244" s="51">
        <v>50</v>
      </c>
      <c r="G244" s="51" t="s">
        <v>28</v>
      </c>
      <c r="H244" s="51">
        <v>0</v>
      </c>
    </row>
    <row r="245" s="51" customFormat="1" spans="1:8">
      <c r="A245" s="116" t="s">
        <v>527</v>
      </c>
      <c r="B245" s="58"/>
      <c r="C245" s="57" t="s">
        <v>528</v>
      </c>
      <c r="D245" s="59" t="s">
        <v>27</v>
      </c>
      <c r="E245" s="60" t="str">
        <f ca="1" t="shared" si="3"/>
        <v>K1</v>
      </c>
      <c r="F245" s="51">
        <v>50</v>
      </c>
      <c r="G245" s="51" t="s">
        <v>28</v>
      </c>
      <c r="H245" s="51" t="e">
        <v>#N/A</v>
      </c>
    </row>
    <row r="246" s="51" customFormat="1" spans="1:8">
      <c r="A246" s="116" t="s">
        <v>529</v>
      </c>
      <c r="B246" s="58"/>
      <c r="C246" s="57" t="s">
        <v>530</v>
      </c>
      <c r="D246" s="59" t="s">
        <v>27</v>
      </c>
      <c r="E246" s="60" t="str">
        <f ca="1" t="shared" si="3"/>
        <v>K1</v>
      </c>
      <c r="F246" s="51">
        <v>50</v>
      </c>
      <c r="G246" s="51" t="s">
        <v>28</v>
      </c>
      <c r="H246" s="51">
        <v>0</v>
      </c>
    </row>
    <row r="247" s="51" customFormat="1" spans="1:8">
      <c r="A247" s="116" t="s">
        <v>531</v>
      </c>
      <c r="B247" s="58"/>
      <c r="C247" s="57" t="s">
        <v>532</v>
      </c>
      <c r="D247" s="59" t="s">
        <v>27</v>
      </c>
      <c r="E247" s="60" t="str">
        <f ca="1" t="shared" si="3"/>
        <v>K1</v>
      </c>
      <c r="F247" s="51">
        <v>50</v>
      </c>
      <c r="G247" s="51" t="s">
        <v>28</v>
      </c>
      <c r="H247" s="51">
        <v>0</v>
      </c>
    </row>
    <row r="248" s="51" customFormat="1" spans="1:8">
      <c r="A248" s="116" t="s">
        <v>533</v>
      </c>
      <c r="B248" s="58"/>
      <c r="C248" s="57" t="s">
        <v>534</v>
      </c>
      <c r="D248" s="59" t="s">
        <v>27</v>
      </c>
      <c r="E248" s="60" t="str">
        <f ca="1" t="shared" si="3"/>
        <v>K2</v>
      </c>
      <c r="F248" s="51">
        <v>50</v>
      </c>
      <c r="G248" s="51" t="s">
        <v>28</v>
      </c>
      <c r="H248" s="51">
        <v>0</v>
      </c>
    </row>
    <row r="249" spans="1:8">
      <c r="A249" s="66" t="s">
        <v>535</v>
      </c>
      <c r="B249" s="58"/>
      <c r="C249" s="57" t="s">
        <v>536</v>
      </c>
      <c r="D249" s="59" t="s">
        <v>27</v>
      </c>
      <c r="E249" s="60" t="str">
        <f ca="1" t="shared" si="3"/>
        <v>KT</v>
      </c>
      <c r="F249" s="51">
        <v>50</v>
      </c>
      <c r="G249" s="51" t="s">
        <v>28</v>
      </c>
      <c r="H249" s="51" t="e">
        <v>#N/A</v>
      </c>
    </row>
    <row r="250" spans="1:8">
      <c r="A250" s="66" t="s">
        <v>537</v>
      </c>
      <c r="B250" s="58"/>
      <c r="C250" s="57" t="s">
        <v>538</v>
      </c>
      <c r="D250" s="59" t="s">
        <v>27</v>
      </c>
      <c r="E250" s="60" t="str">
        <f ca="1" t="shared" si="3"/>
        <v>KT</v>
      </c>
      <c r="F250" s="51">
        <v>50</v>
      </c>
      <c r="G250" s="51" t="s">
        <v>28</v>
      </c>
      <c r="H250" s="51" t="e">
        <v>#N/A</v>
      </c>
    </row>
    <row r="251" spans="1:8">
      <c r="A251" s="66" t="s">
        <v>539</v>
      </c>
      <c r="B251" s="58"/>
      <c r="C251" s="57" t="s">
        <v>540</v>
      </c>
      <c r="D251" s="59" t="s">
        <v>27</v>
      </c>
      <c r="E251" s="60" t="str">
        <f ca="1" t="shared" si="3"/>
        <v>KT</v>
      </c>
      <c r="F251" s="51">
        <v>50</v>
      </c>
      <c r="G251" s="51" t="s">
        <v>28</v>
      </c>
      <c r="H251" s="51" t="e">
        <v>#N/A</v>
      </c>
    </row>
    <row r="252" s="51" customFormat="1" spans="1:8">
      <c r="A252" s="66" t="s">
        <v>541</v>
      </c>
      <c r="B252" s="58"/>
      <c r="C252" s="57" t="s">
        <v>542</v>
      </c>
      <c r="D252" s="59" t="s">
        <v>27</v>
      </c>
      <c r="E252" s="60" t="str">
        <f ca="1" t="shared" si="3"/>
        <v>KT</v>
      </c>
      <c r="F252" s="51">
        <v>50</v>
      </c>
      <c r="G252" s="51" t="s">
        <v>28</v>
      </c>
      <c r="H252" s="51">
        <v>0</v>
      </c>
    </row>
    <row r="253" s="51" customFormat="1" spans="1:8">
      <c r="A253" s="66" t="s">
        <v>543</v>
      </c>
      <c r="B253" s="58"/>
      <c r="C253" s="57" t="s">
        <v>544</v>
      </c>
      <c r="D253" s="59" t="s">
        <v>27</v>
      </c>
      <c r="E253" s="60" t="str">
        <f ca="1" t="shared" si="3"/>
        <v>KT</v>
      </c>
      <c r="F253" s="51">
        <v>50</v>
      </c>
      <c r="G253" s="51" t="s">
        <v>28</v>
      </c>
      <c r="H253" s="51">
        <v>0</v>
      </c>
    </row>
    <row r="254" s="51" customFormat="1" spans="1:8">
      <c r="A254" s="66" t="s">
        <v>545</v>
      </c>
      <c r="B254" s="67" t="s">
        <v>546</v>
      </c>
      <c r="C254" s="57" t="s">
        <v>547</v>
      </c>
      <c r="D254" s="59" t="s">
        <v>27</v>
      </c>
      <c r="E254" s="60" t="str">
        <f ca="1" t="shared" si="3"/>
        <v>KT</v>
      </c>
      <c r="F254" s="51">
        <v>50</v>
      </c>
      <c r="G254" s="51" t="s">
        <v>28</v>
      </c>
      <c r="H254" s="51">
        <v>0</v>
      </c>
    </row>
    <row r="255" s="51" customFormat="1" spans="1:8">
      <c r="A255" s="66" t="s">
        <v>548</v>
      </c>
      <c r="B255" s="58"/>
      <c r="C255" s="57" t="s">
        <v>549</v>
      </c>
      <c r="D255" s="59" t="s">
        <v>27</v>
      </c>
      <c r="E255" s="60" t="str">
        <f ca="1" t="shared" si="3"/>
        <v>KT</v>
      </c>
      <c r="F255" s="51">
        <v>50</v>
      </c>
      <c r="G255" s="51" t="s">
        <v>28</v>
      </c>
      <c r="H255" s="51">
        <v>0</v>
      </c>
    </row>
    <row r="256" s="51" customFormat="1" spans="1:8">
      <c r="A256" s="66" t="s">
        <v>550</v>
      </c>
      <c r="B256" s="58"/>
      <c r="C256" s="57" t="s">
        <v>551</v>
      </c>
      <c r="D256" s="59" t="s">
        <v>27</v>
      </c>
      <c r="E256" s="60" t="str">
        <f ca="1" t="shared" si="3"/>
        <v>KT</v>
      </c>
      <c r="F256" s="51">
        <v>50</v>
      </c>
      <c r="G256" s="51" t="s">
        <v>28</v>
      </c>
      <c r="H256" s="51">
        <v>0</v>
      </c>
    </row>
    <row r="257" s="51" customFormat="1" spans="1:8">
      <c r="A257" s="66" t="s">
        <v>552</v>
      </c>
      <c r="B257" s="58"/>
      <c r="C257" s="57" t="s">
        <v>553</v>
      </c>
      <c r="D257" s="59" t="s">
        <v>27</v>
      </c>
      <c r="E257" s="60" t="str">
        <f ca="1" t="shared" si="3"/>
        <v>KT</v>
      </c>
      <c r="F257" s="51">
        <v>50</v>
      </c>
      <c r="G257" s="51" t="s">
        <v>28</v>
      </c>
      <c r="H257" s="51" t="e">
        <v>#N/A</v>
      </c>
    </row>
    <row r="258" spans="1:8">
      <c r="A258" s="57" t="s">
        <v>554</v>
      </c>
      <c r="B258" s="58"/>
      <c r="C258" s="57" t="s">
        <v>555</v>
      </c>
      <c r="D258" s="59" t="s">
        <v>27</v>
      </c>
      <c r="E258" s="60" t="str">
        <f ca="1" t="shared" si="3"/>
        <v>MT</v>
      </c>
      <c r="F258" s="51">
        <v>50</v>
      </c>
      <c r="G258" s="51" t="s">
        <v>28</v>
      </c>
      <c r="H258" s="51">
        <v>0</v>
      </c>
    </row>
    <row r="259" spans="1:8">
      <c r="A259" s="57" t="s">
        <v>556</v>
      </c>
      <c r="B259" s="58"/>
      <c r="C259" s="57" t="s">
        <v>557</v>
      </c>
      <c r="D259" s="59" t="s">
        <v>27</v>
      </c>
      <c r="E259" s="60" t="str">
        <f ca="1" t="shared" ref="E259:E322" si="4">LEFT(A259,2)</f>
        <v>MO</v>
      </c>
      <c r="F259" s="51">
        <v>50</v>
      </c>
      <c r="G259" s="51" t="s">
        <v>28</v>
      </c>
      <c r="H259" s="51">
        <v>0</v>
      </c>
    </row>
    <row r="260" spans="1:8">
      <c r="A260" s="57" t="s">
        <v>558</v>
      </c>
      <c r="B260" s="58"/>
      <c r="C260" s="57" t="s">
        <v>559</v>
      </c>
      <c r="D260" s="59" t="s">
        <v>27</v>
      </c>
      <c r="E260" s="60" t="str">
        <f ca="1" t="shared" si="4"/>
        <v>MT</v>
      </c>
      <c r="F260" s="51">
        <v>50</v>
      </c>
      <c r="G260" s="51" t="s">
        <v>28</v>
      </c>
      <c r="H260" s="51">
        <v>0</v>
      </c>
    </row>
    <row r="261" spans="1:8">
      <c r="A261" s="57" t="s">
        <v>560</v>
      </c>
      <c r="B261" s="58"/>
      <c r="C261" s="57" t="s">
        <v>561</v>
      </c>
      <c r="D261" s="59" t="s">
        <v>27</v>
      </c>
      <c r="E261" s="60" t="str">
        <f ca="1" t="shared" si="4"/>
        <v>KD</v>
      </c>
      <c r="F261" s="51">
        <v>50</v>
      </c>
      <c r="G261" s="51" t="s">
        <v>28</v>
      </c>
      <c r="H261" s="51">
        <v>0</v>
      </c>
    </row>
    <row r="262" spans="1:8">
      <c r="A262" s="66" t="s">
        <v>562</v>
      </c>
      <c r="B262" s="58"/>
      <c r="C262" s="57" t="s">
        <v>563</v>
      </c>
      <c r="D262" s="59" t="s">
        <v>27</v>
      </c>
      <c r="E262" s="60" t="str">
        <f ca="1" t="shared" si="4"/>
        <v>KN</v>
      </c>
      <c r="F262" s="51">
        <v>50</v>
      </c>
      <c r="G262" s="51" t="s">
        <v>28</v>
      </c>
      <c r="H262" s="51" t="e">
        <v>#N/A</v>
      </c>
    </row>
    <row r="263" spans="1:8">
      <c r="A263" s="66" t="s">
        <v>564</v>
      </c>
      <c r="B263" s="58"/>
      <c r="C263" s="57" t="s">
        <v>565</v>
      </c>
      <c r="D263" s="59" t="s">
        <v>27</v>
      </c>
      <c r="E263" s="60" t="str">
        <f ca="1" t="shared" si="4"/>
        <v>KN</v>
      </c>
      <c r="F263" s="51">
        <v>50</v>
      </c>
      <c r="G263" s="51" t="s">
        <v>28</v>
      </c>
      <c r="H263" s="51" t="e">
        <v>#N/A</v>
      </c>
    </row>
    <row r="264" spans="1:8">
      <c r="A264" s="66" t="s">
        <v>566</v>
      </c>
      <c r="B264" s="58"/>
      <c r="C264" s="57" t="s">
        <v>567</v>
      </c>
      <c r="D264" s="59" t="s">
        <v>27</v>
      </c>
      <c r="E264" s="60" t="str">
        <f ca="1" t="shared" si="4"/>
        <v>KN</v>
      </c>
      <c r="F264" s="51">
        <v>50</v>
      </c>
      <c r="G264" s="51" t="s">
        <v>28</v>
      </c>
      <c r="H264" s="51" t="e">
        <v>#N/A</v>
      </c>
    </row>
    <row r="265" s="51" customFormat="1" spans="1:8">
      <c r="A265" s="66" t="s">
        <v>568</v>
      </c>
      <c r="B265" s="58"/>
      <c r="C265" s="57" t="s">
        <v>569</v>
      </c>
      <c r="D265" s="59" t="s">
        <v>27</v>
      </c>
      <c r="E265" s="60" t="str">
        <f ca="1" t="shared" si="4"/>
        <v>KN</v>
      </c>
      <c r="F265" s="51">
        <v>50</v>
      </c>
      <c r="G265" s="51" t="s">
        <v>28</v>
      </c>
      <c r="H265" s="51">
        <v>0</v>
      </c>
    </row>
    <row r="266" s="51" customFormat="1" spans="1:8">
      <c r="A266" s="66" t="s">
        <v>570</v>
      </c>
      <c r="B266" s="58"/>
      <c r="C266" s="57" t="s">
        <v>571</v>
      </c>
      <c r="D266" s="59" t="s">
        <v>27</v>
      </c>
      <c r="E266" s="60" t="str">
        <f ca="1" t="shared" si="4"/>
        <v>KN</v>
      </c>
      <c r="F266" s="51">
        <v>50</v>
      </c>
      <c r="G266" s="51" t="s">
        <v>28</v>
      </c>
      <c r="H266" s="51">
        <v>0</v>
      </c>
    </row>
    <row r="267" s="51" customFormat="1" spans="1:8">
      <c r="A267" s="66" t="s">
        <v>572</v>
      </c>
      <c r="B267" s="67" t="s">
        <v>546</v>
      </c>
      <c r="C267" s="57" t="s">
        <v>573</v>
      </c>
      <c r="D267" s="59" t="s">
        <v>27</v>
      </c>
      <c r="E267" s="60" t="str">
        <f ca="1" t="shared" si="4"/>
        <v>KN</v>
      </c>
      <c r="F267" s="51">
        <v>50</v>
      </c>
      <c r="G267" s="51" t="s">
        <v>28</v>
      </c>
      <c r="H267" s="51">
        <v>0</v>
      </c>
    </row>
    <row r="268" s="51" customFormat="1" spans="1:8">
      <c r="A268" s="66" t="s">
        <v>574</v>
      </c>
      <c r="B268" s="58"/>
      <c r="C268" s="57" t="s">
        <v>575</v>
      </c>
      <c r="D268" s="59" t="s">
        <v>27</v>
      </c>
      <c r="E268" s="60" t="str">
        <f ca="1" t="shared" si="4"/>
        <v>KN</v>
      </c>
      <c r="F268" s="51">
        <v>50</v>
      </c>
      <c r="G268" s="51" t="s">
        <v>28</v>
      </c>
      <c r="H268" s="51">
        <v>0</v>
      </c>
    </row>
    <row r="269" s="51" customFormat="1" spans="1:8">
      <c r="A269" s="66" t="s">
        <v>576</v>
      </c>
      <c r="B269" s="58"/>
      <c r="C269" s="57" t="s">
        <v>577</v>
      </c>
      <c r="D269" s="59" t="s">
        <v>27</v>
      </c>
      <c r="E269" s="60" t="str">
        <f ca="1" t="shared" si="4"/>
        <v>KN</v>
      </c>
      <c r="F269" s="51">
        <v>50</v>
      </c>
      <c r="G269" s="51" t="s">
        <v>28</v>
      </c>
      <c r="H269" s="51" t="e">
        <v>#N/A</v>
      </c>
    </row>
    <row r="270" s="51" customFormat="1" spans="1:8">
      <c r="A270" s="66" t="s">
        <v>578</v>
      </c>
      <c r="B270" s="58"/>
      <c r="C270" s="57" t="s">
        <v>579</v>
      </c>
      <c r="D270" s="59" t="s">
        <v>27</v>
      </c>
      <c r="E270" s="60" t="str">
        <f ca="1" t="shared" si="4"/>
        <v>KN</v>
      </c>
      <c r="F270" s="51">
        <v>50</v>
      </c>
      <c r="G270" s="51" t="s">
        <v>28</v>
      </c>
      <c r="H270" s="51">
        <v>0</v>
      </c>
    </row>
    <row r="271" spans="1:8">
      <c r="A271" s="57" t="s">
        <v>580</v>
      </c>
      <c r="B271" s="58"/>
      <c r="C271" s="57" t="s">
        <v>581</v>
      </c>
      <c r="D271" s="59" t="s">
        <v>27</v>
      </c>
      <c r="E271" s="60" t="str">
        <f ca="1" t="shared" si="4"/>
        <v>Ho</v>
      </c>
      <c r="F271" s="51">
        <v>50</v>
      </c>
      <c r="G271" s="51" t="s">
        <v>28</v>
      </c>
      <c r="H271" s="51" t="e">
        <v>#N/A</v>
      </c>
    </row>
    <row r="272" spans="1:8">
      <c r="A272" s="57" t="s">
        <v>582</v>
      </c>
      <c r="B272" s="58"/>
      <c r="C272" s="57" t="s">
        <v>583</v>
      </c>
      <c r="D272" s="59" t="s">
        <v>27</v>
      </c>
      <c r="E272" s="60" t="str">
        <f ca="1" t="shared" si="4"/>
        <v>Ho</v>
      </c>
      <c r="F272" s="51">
        <v>50</v>
      </c>
      <c r="G272" s="51" t="s">
        <v>28</v>
      </c>
      <c r="H272" s="51" t="e">
        <v>#N/A</v>
      </c>
    </row>
    <row r="273" spans="1:8">
      <c r="A273" s="57" t="s">
        <v>584</v>
      </c>
      <c r="B273" s="58"/>
      <c r="C273" s="57" t="s">
        <v>585</v>
      </c>
      <c r="D273" s="59" t="s">
        <v>27</v>
      </c>
      <c r="E273" s="60" t="str">
        <f ca="1" t="shared" si="4"/>
        <v>Ho</v>
      </c>
      <c r="F273" s="51">
        <v>50</v>
      </c>
      <c r="G273" s="51" t="s">
        <v>28</v>
      </c>
      <c r="H273" s="51" t="e">
        <v>#N/A</v>
      </c>
    </row>
    <row r="274" spans="1:8">
      <c r="A274" s="57" t="s">
        <v>586</v>
      </c>
      <c r="B274" s="58"/>
      <c r="C274" s="57" t="s">
        <v>587</v>
      </c>
      <c r="D274" s="59" t="s">
        <v>27</v>
      </c>
      <c r="E274" s="60" t="str">
        <f ca="1" t="shared" si="4"/>
        <v>Ho</v>
      </c>
      <c r="F274" s="51">
        <v>50</v>
      </c>
      <c r="G274" s="51" t="s">
        <v>28</v>
      </c>
      <c r="H274" s="51" t="e">
        <v>#N/A</v>
      </c>
    </row>
    <row r="275" spans="1:8">
      <c r="A275" s="57" t="s">
        <v>588</v>
      </c>
      <c r="B275" s="58"/>
      <c r="C275" s="57" t="s">
        <v>589</v>
      </c>
      <c r="D275" s="59" t="s">
        <v>27</v>
      </c>
      <c r="E275" s="60" t="str">
        <f ca="1" t="shared" si="4"/>
        <v>Ho</v>
      </c>
      <c r="F275" s="51">
        <v>50</v>
      </c>
      <c r="G275" s="51" t="s">
        <v>28</v>
      </c>
      <c r="H275" s="51" t="e">
        <v>#N/A</v>
      </c>
    </row>
    <row r="276" spans="1:8">
      <c r="A276" s="57" t="s">
        <v>590</v>
      </c>
      <c r="B276" s="58"/>
      <c r="C276" s="57" t="s">
        <v>591</v>
      </c>
      <c r="D276" s="59" t="s">
        <v>27</v>
      </c>
      <c r="E276" s="60" t="str">
        <f ca="1" t="shared" si="4"/>
        <v>Ho</v>
      </c>
      <c r="F276" s="51">
        <v>50</v>
      </c>
      <c r="G276" s="51" t="s">
        <v>28</v>
      </c>
      <c r="H276" s="51" t="e">
        <v>#N/A</v>
      </c>
    </row>
    <row r="277" spans="1:8">
      <c r="A277" s="57" t="s">
        <v>592</v>
      </c>
      <c r="B277" s="58"/>
      <c r="C277" s="57" t="s">
        <v>593</v>
      </c>
      <c r="D277" s="59" t="s">
        <v>27</v>
      </c>
      <c r="E277" s="60" t="str">
        <f ca="1" t="shared" si="4"/>
        <v>Ho</v>
      </c>
      <c r="F277" s="51">
        <v>50</v>
      </c>
      <c r="G277" s="51" t="s">
        <v>28</v>
      </c>
      <c r="H277" s="51" t="e">
        <v>#N/A</v>
      </c>
    </row>
    <row r="278" spans="1:8">
      <c r="A278" s="68" t="s">
        <v>594</v>
      </c>
      <c r="B278" s="67" t="s">
        <v>546</v>
      </c>
      <c r="C278" s="57" t="s">
        <v>595</v>
      </c>
      <c r="D278" s="59" t="s">
        <v>27</v>
      </c>
      <c r="E278" s="60" t="str">
        <f ca="1" t="shared" si="4"/>
        <v>HO</v>
      </c>
      <c r="F278" s="51">
        <v>50</v>
      </c>
      <c r="G278" s="51" t="s">
        <v>28</v>
      </c>
      <c r="H278" s="51" t="e">
        <v>#N/A</v>
      </c>
    </row>
    <row r="279" spans="1:8">
      <c r="A279" s="68" t="s">
        <v>596</v>
      </c>
      <c r="B279" s="58"/>
      <c r="C279" s="57" t="s">
        <v>597</v>
      </c>
      <c r="D279" s="59" t="s">
        <v>27</v>
      </c>
      <c r="E279" s="60" t="str">
        <f ca="1" t="shared" si="4"/>
        <v>HO</v>
      </c>
      <c r="F279" s="51">
        <v>50</v>
      </c>
      <c r="G279" s="51" t="s">
        <v>28</v>
      </c>
      <c r="H279" s="51">
        <v>0</v>
      </c>
    </row>
    <row r="280" spans="1:8">
      <c r="A280" s="57" t="s">
        <v>598</v>
      </c>
      <c r="B280" s="58"/>
      <c r="C280" s="57" t="s">
        <v>599</v>
      </c>
      <c r="D280" s="59" t="s">
        <v>600</v>
      </c>
      <c r="E280" s="60" t="str">
        <f ca="1" t="shared" si="4"/>
        <v>BT</v>
      </c>
      <c r="F280" s="51">
        <v>50</v>
      </c>
      <c r="G280" s="51" t="s">
        <v>28</v>
      </c>
      <c r="H280" s="51" t="e">
        <v>#N/A</v>
      </c>
    </row>
    <row r="281" spans="1:8">
      <c r="A281" s="57" t="s">
        <v>601</v>
      </c>
      <c r="B281" s="58"/>
      <c r="C281" s="57" t="s">
        <v>602</v>
      </c>
      <c r="D281" s="59" t="s">
        <v>600</v>
      </c>
      <c r="E281" s="60" t="str">
        <f ca="1" t="shared" si="4"/>
        <v>BT</v>
      </c>
      <c r="F281" s="51">
        <v>50</v>
      </c>
      <c r="G281" s="51" t="s">
        <v>28</v>
      </c>
      <c r="H281" s="51" t="e">
        <v>#N/A</v>
      </c>
    </row>
    <row r="282" s="51" customFormat="1" spans="1:8">
      <c r="A282" s="57" t="s">
        <v>603</v>
      </c>
      <c r="B282" s="58" t="s">
        <v>604</v>
      </c>
      <c r="C282" s="57" t="s">
        <v>605</v>
      </c>
      <c r="D282" s="59" t="s">
        <v>606</v>
      </c>
      <c r="E282" s="60" t="str">
        <f ca="1" t="shared" si="4"/>
        <v>BT</v>
      </c>
      <c r="F282" s="51">
        <v>50</v>
      </c>
      <c r="G282" s="51" t="s">
        <v>28</v>
      </c>
      <c r="H282" s="51" t="e">
        <v>#N/A</v>
      </c>
    </row>
    <row r="283" s="51" customFormat="1" spans="1:8">
      <c r="A283" s="57" t="s">
        <v>607</v>
      </c>
      <c r="B283" s="58" t="s">
        <v>608</v>
      </c>
      <c r="C283" s="57" t="s">
        <v>609</v>
      </c>
      <c r="D283" s="59" t="s">
        <v>606</v>
      </c>
      <c r="E283" s="60" t="str">
        <f ca="1" t="shared" si="4"/>
        <v>BT</v>
      </c>
      <c r="F283" s="51">
        <v>50</v>
      </c>
      <c r="G283" s="51" t="s">
        <v>28</v>
      </c>
      <c r="H283" s="51" t="e">
        <v>#N/A</v>
      </c>
    </row>
    <row r="284" spans="1:8">
      <c r="A284" s="57" t="s">
        <v>610</v>
      </c>
      <c r="B284" s="115" t="s">
        <v>611</v>
      </c>
      <c r="C284" s="57" t="s">
        <v>612</v>
      </c>
      <c r="D284" s="59" t="s">
        <v>606</v>
      </c>
      <c r="E284" s="60" t="str">
        <f ca="1" t="shared" si="4"/>
        <v>BT</v>
      </c>
      <c r="F284" s="51">
        <v>50</v>
      </c>
      <c r="G284" s="51" t="s">
        <v>28</v>
      </c>
      <c r="H284" s="51">
        <v>1.34</v>
      </c>
    </row>
    <row r="285" spans="1:8">
      <c r="A285" s="66" t="s">
        <v>613</v>
      </c>
      <c r="B285" s="58"/>
      <c r="C285" s="57" t="s">
        <v>614</v>
      </c>
      <c r="D285" s="59" t="s">
        <v>27</v>
      </c>
      <c r="E285" s="60" t="str">
        <f ca="1" t="shared" si="4"/>
        <v>BI</v>
      </c>
      <c r="F285" s="51">
        <v>50</v>
      </c>
      <c r="G285" s="51" t="s">
        <v>28</v>
      </c>
      <c r="H285" s="51">
        <v>0</v>
      </c>
    </row>
    <row r="286" spans="1:8">
      <c r="A286" s="66" t="s">
        <v>615</v>
      </c>
      <c r="B286" s="58"/>
      <c r="C286" s="57" t="s">
        <v>616</v>
      </c>
      <c r="D286" s="59" t="s">
        <v>27</v>
      </c>
      <c r="E286" s="60" t="str">
        <f ca="1" t="shared" si="4"/>
        <v>BI</v>
      </c>
      <c r="F286" s="51">
        <v>50</v>
      </c>
      <c r="G286" s="51" t="s">
        <v>28</v>
      </c>
      <c r="H286" s="51" t="e">
        <v>#N/A</v>
      </c>
    </row>
    <row r="287" spans="1:8">
      <c r="A287" s="66" t="s">
        <v>617</v>
      </c>
      <c r="B287" s="58"/>
      <c r="C287" s="57" t="s">
        <v>618</v>
      </c>
      <c r="D287" s="59" t="s">
        <v>27</v>
      </c>
      <c r="E287" s="60" t="str">
        <f ca="1" t="shared" si="4"/>
        <v>BI</v>
      </c>
      <c r="F287" s="51">
        <v>50</v>
      </c>
      <c r="G287" s="51" t="s">
        <v>28</v>
      </c>
      <c r="H287" s="51">
        <v>0</v>
      </c>
    </row>
    <row r="288" spans="1:8">
      <c r="A288" s="66" t="s">
        <v>619</v>
      </c>
      <c r="B288" s="58"/>
      <c r="C288" s="57" t="s">
        <v>620</v>
      </c>
      <c r="D288" s="59" t="s">
        <v>27</v>
      </c>
      <c r="E288" s="60" t="str">
        <f ca="1" t="shared" si="4"/>
        <v>BI</v>
      </c>
      <c r="F288" s="51">
        <v>50</v>
      </c>
      <c r="G288" s="51" t="s">
        <v>28</v>
      </c>
      <c r="H288" s="51">
        <v>0</v>
      </c>
    </row>
    <row r="289" spans="1:8">
      <c r="A289" s="66" t="s">
        <v>621</v>
      </c>
      <c r="B289" s="58"/>
      <c r="C289" s="57" t="s">
        <v>622</v>
      </c>
      <c r="D289" s="59" t="s">
        <v>27</v>
      </c>
      <c r="E289" s="60" t="str">
        <f ca="1" t="shared" si="4"/>
        <v>BI</v>
      </c>
      <c r="F289" s="51">
        <v>50</v>
      </c>
      <c r="G289" s="51" t="s">
        <v>28</v>
      </c>
      <c r="H289" s="51">
        <v>0</v>
      </c>
    </row>
    <row r="290" spans="1:8">
      <c r="A290" s="66" t="s">
        <v>623</v>
      </c>
      <c r="B290" s="58"/>
      <c r="C290" s="57" t="s">
        <v>624</v>
      </c>
      <c r="D290" s="59" t="s">
        <v>27</v>
      </c>
      <c r="E290" s="60" t="str">
        <f ca="1" t="shared" si="4"/>
        <v>BI</v>
      </c>
      <c r="F290" s="51">
        <v>50</v>
      </c>
      <c r="G290" s="51" t="s">
        <v>28</v>
      </c>
      <c r="H290" s="51">
        <v>0</v>
      </c>
    </row>
    <row r="291" s="51" customFormat="1" spans="1:8">
      <c r="A291" s="57" t="s">
        <v>625</v>
      </c>
      <c r="B291" s="58"/>
      <c r="C291" s="57" t="s">
        <v>626</v>
      </c>
      <c r="D291" s="59" t="s">
        <v>27</v>
      </c>
      <c r="E291" s="60" t="str">
        <f ca="1" t="shared" si="4"/>
        <v>KE</v>
      </c>
      <c r="F291" s="51">
        <v>50</v>
      </c>
      <c r="G291" s="51" t="s">
        <v>28</v>
      </c>
      <c r="H291" s="51">
        <v>0</v>
      </c>
    </row>
    <row r="292" s="51" customFormat="1" spans="1:8">
      <c r="A292" s="57" t="s">
        <v>627</v>
      </c>
      <c r="B292" s="58"/>
      <c r="C292" s="57" t="s">
        <v>628</v>
      </c>
      <c r="D292" s="59" t="s">
        <v>27</v>
      </c>
      <c r="E292" s="60" t="str">
        <f ca="1" t="shared" si="4"/>
        <v>KE</v>
      </c>
      <c r="F292" s="51">
        <v>50</v>
      </c>
      <c r="G292" s="51" t="s">
        <v>28</v>
      </c>
      <c r="H292" s="51">
        <v>1</v>
      </c>
    </row>
    <row r="293" s="51" customFormat="1" spans="1:8">
      <c r="A293" s="57" t="s">
        <v>629</v>
      </c>
      <c r="B293" s="58"/>
      <c r="C293" s="57" t="s">
        <v>630</v>
      </c>
      <c r="D293" s="59" t="s">
        <v>27</v>
      </c>
      <c r="E293" s="60" t="str">
        <f ca="1" t="shared" si="4"/>
        <v>KE</v>
      </c>
      <c r="F293" s="51">
        <v>50</v>
      </c>
      <c r="G293" s="51" t="s">
        <v>28</v>
      </c>
      <c r="H293" s="51">
        <v>0</v>
      </c>
    </row>
    <row r="294" s="51" customFormat="1" spans="1:8">
      <c r="A294" s="57" t="s">
        <v>631</v>
      </c>
      <c r="B294" s="58"/>
      <c r="C294" s="57" t="s">
        <v>632</v>
      </c>
      <c r="D294" s="59" t="s">
        <v>27</v>
      </c>
      <c r="E294" s="60" t="str">
        <f ca="1" t="shared" si="4"/>
        <v>KE</v>
      </c>
      <c r="F294" s="51">
        <v>50</v>
      </c>
      <c r="G294" s="51" t="s">
        <v>28</v>
      </c>
      <c r="H294" s="51">
        <v>2</v>
      </c>
    </row>
    <row r="295" s="51" customFormat="1" spans="1:8">
      <c r="A295" s="57" t="s">
        <v>633</v>
      </c>
      <c r="B295" s="58"/>
      <c r="C295" s="57" t="s">
        <v>634</v>
      </c>
      <c r="D295" s="59" t="s">
        <v>27</v>
      </c>
      <c r="E295" s="60" t="str">
        <f ca="1" t="shared" si="4"/>
        <v>KE</v>
      </c>
      <c r="F295" s="51">
        <v>50</v>
      </c>
      <c r="G295" s="51" t="s">
        <v>28</v>
      </c>
      <c r="H295" s="51">
        <v>0</v>
      </c>
    </row>
    <row r="296" s="51" customFormat="1" spans="1:8">
      <c r="A296" s="57" t="s">
        <v>635</v>
      </c>
      <c r="B296" s="58"/>
      <c r="C296" s="57" t="s">
        <v>636</v>
      </c>
      <c r="D296" s="59" t="s">
        <v>27</v>
      </c>
      <c r="E296" s="60" t="str">
        <f ca="1" t="shared" si="4"/>
        <v>KE</v>
      </c>
      <c r="F296" s="51">
        <v>50</v>
      </c>
      <c r="G296" s="51" t="s">
        <v>28</v>
      </c>
      <c r="H296" s="51">
        <v>0</v>
      </c>
    </row>
    <row r="297" s="51" customFormat="1" spans="1:8">
      <c r="A297" s="57" t="s">
        <v>637</v>
      </c>
      <c r="B297" s="58"/>
      <c r="C297" s="57" t="s">
        <v>638</v>
      </c>
      <c r="D297" s="59" t="s">
        <v>27</v>
      </c>
      <c r="E297" s="60" t="str">
        <f ca="1" t="shared" si="4"/>
        <v>KE</v>
      </c>
      <c r="F297" s="51">
        <v>50</v>
      </c>
      <c r="G297" s="51" t="s">
        <v>28</v>
      </c>
      <c r="H297" s="51">
        <v>0</v>
      </c>
    </row>
    <row r="298" s="51" customFormat="1" spans="1:8">
      <c r="A298" s="57" t="s">
        <v>639</v>
      </c>
      <c r="B298" s="58"/>
      <c r="C298" s="57" t="s">
        <v>640</v>
      </c>
      <c r="D298" s="59" t="s">
        <v>27</v>
      </c>
      <c r="E298" s="60" t="str">
        <f ca="1" t="shared" si="4"/>
        <v>KE</v>
      </c>
      <c r="F298" s="51">
        <v>50</v>
      </c>
      <c r="G298" s="51" t="s">
        <v>28</v>
      </c>
      <c r="H298" s="51">
        <v>0</v>
      </c>
    </row>
    <row r="299" s="51" customFormat="1" spans="1:8">
      <c r="A299" s="57" t="s">
        <v>641</v>
      </c>
      <c r="B299" s="58"/>
      <c r="C299" s="57" t="s">
        <v>642</v>
      </c>
      <c r="D299" s="59" t="s">
        <v>27</v>
      </c>
      <c r="E299" s="60" t="str">
        <f ca="1" t="shared" si="4"/>
        <v>KE</v>
      </c>
      <c r="F299" s="51">
        <v>50</v>
      </c>
      <c r="G299" s="51" t="s">
        <v>28</v>
      </c>
      <c r="H299" s="51">
        <v>0</v>
      </c>
    </row>
    <row r="300" s="51" customFormat="1" spans="1:8">
      <c r="A300" s="57" t="s">
        <v>643</v>
      </c>
      <c r="B300" s="58"/>
      <c r="C300" s="57" t="s">
        <v>644</v>
      </c>
      <c r="D300" s="59" t="s">
        <v>27</v>
      </c>
      <c r="E300" s="60" t="str">
        <f ca="1" t="shared" si="4"/>
        <v>KE</v>
      </c>
      <c r="F300" s="51">
        <v>50</v>
      </c>
      <c r="G300" s="51" t="s">
        <v>28</v>
      </c>
      <c r="H300" s="51">
        <v>0</v>
      </c>
    </row>
    <row r="301" s="51" customFormat="1" spans="1:8">
      <c r="A301" s="57" t="s">
        <v>645</v>
      </c>
      <c r="B301" s="58"/>
      <c r="C301" s="57" t="s">
        <v>646</v>
      </c>
      <c r="D301" s="59" t="s">
        <v>27</v>
      </c>
      <c r="E301" s="60" t="str">
        <f ca="1" t="shared" si="4"/>
        <v>KC</v>
      </c>
      <c r="F301" s="51">
        <v>50</v>
      </c>
      <c r="G301" s="51" t="s">
        <v>28</v>
      </c>
      <c r="H301" s="51">
        <v>2</v>
      </c>
    </row>
    <row r="302" s="51" customFormat="1" spans="1:8">
      <c r="A302" s="57" t="s">
        <v>647</v>
      </c>
      <c r="B302" s="58"/>
      <c r="C302" s="57" t="s">
        <v>648</v>
      </c>
      <c r="D302" s="59" t="s">
        <v>27</v>
      </c>
      <c r="E302" s="60" t="str">
        <f ca="1" t="shared" si="4"/>
        <v>KC</v>
      </c>
      <c r="F302" s="51">
        <v>50</v>
      </c>
      <c r="G302" s="51" t="s">
        <v>28</v>
      </c>
      <c r="H302" s="51" t="e">
        <v>#N/A</v>
      </c>
    </row>
    <row r="303" s="51" customFormat="1" spans="1:8">
      <c r="A303" s="57" t="s">
        <v>649</v>
      </c>
      <c r="B303" s="115" t="s">
        <v>650</v>
      </c>
      <c r="C303" s="57" t="s">
        <v>651</v>
      </c>
      <c r="D303" s="59" t="s">
        <v>27</v>
      </c>
      <c r="E303" s="60" t="str">
        <f ca="1" t="shared" si="4"/>
        <v>KQ</v>
      </c>
      <c r="F303" s="51">
        <v>50</v>
      </c>
      <c r="G303" s="51" t="s">
        <v>28</v>
      </c>
      <c r="H303" s="51">
        <v>0</v>
      </c>
    </row>
    <row r="304" s="51" customFormat="1" spans="1:8">
      <c r="A304" s="57" t="s">
        <v>652</v>
      </c>
      <c r="B304" s="115" t="s">
        <v>650</v>
      </c>
      <c r="C304" s="57" t="s">
        <v>653</v>
      </c>
      <c r="D304" s="59" t="s">
        <v>57</v>
      </c>
      <c r="E304" s="60" t="str">
        <f ca="1" t="shared" si="4"/>
        <v>KQ</v>
      </c>
      <c r="F304" s="51">
        <v>50</v>
      </c>
      <c r="G304" s="51" t="s">
        <v>28</v>
      </c>
      <c r="H304" s="51">
        <v>0</v>
      </c>
    </row>
    <row r="305" s="51" customFormat="1" spans="1:8">
      <c r="A305" s="57" t="s">
        <v>654</v>
      </c>
      <c r="B305" s="115" t="s">
        <v>650</v>
      </c>
      <c r="C305" s="57" t="s">
        <v>655</v>
      </c>
      <c r="D305" s="59" t="s">
        <v>27</v>
      </c>
      <c r="E305" s="60" t="str">
        <f ca="1" t="shared" si="4"/>
        <v>KQ</v>
      </c>
      <c r="F305" s="51">
        <v>50</v>
      </c>
      <c r="G305" s="51" t="s">
        <v>28</v>
      </c>
      <c r="H305" s="51">
        <v>0</v>
      </c>
    </row>
    <row r="306" s="51" customFormat="1" spans="1:8">
      <c r="A306" s="57" t="s">
        <v>656</v>
      </c>
      <c r="B306" s="115" t="s">
        <v>650</v>
      </c>
      <c r="C306" s="57" t="s">
        <v>657</v>
      </c>
      <c r="D306" s="59" t="s">
        <v>27</v>
      </c>
      <c r="E306" s="60" t="str">
        <f ca="1" t="shared" si="4"/>
        <v>KQ</v>
      </c>
      <c r="F306" s="51">
        <v>50</v>
      </c>
      <c r="G306" s="51" t="s">
        <v>28</v>
      </c>
      <c r="H306" s="51" t="e">
        <v>#N/A</v>
      </c>
    </row>
    <row r="307" s="51" customFormat="1" spans="1:8">
      <c r="A307" s="57" t="s">
        <v>658</v>
      </c>
      <c r="B307" s="115" t="s">
        <v>650</v>
      </c>
      <c r="C307" s="57" t="s">
        <v>659</v>
      </c>
      <c r="D307" s="59" t="s">
        <v>27</v>
      </c>
      <c r="E307" s="60" t="str">
        <f ca="1" t="shared" si="4"/>
        <v>KH</v>
      </c>
      <c r="F307" s="51">
        <v>50</v>
      </c>
      <c r="G307" s="51" t="s">
        <v>28</v>
      </c>
      <c r="H307" s="51">
        <v>0</v>
      </c>
    </row>
    <row r="308" s="51" customFormat="1" spans="1:8">
      <c r="A308" s="57" t="s">
        <v>660</v>
      </c>
      <c r="B308" s="115" t="s">
        <v>650</v>
      </c>
      <c r="C308" s="57" t="s">
        <v>661</v>
      </c>
      <c r="D308" s="59" t="s">
        <v>27</v>
      </c>
      <c r="E308" s="60" t="str">
        <f ca="1" t="shared" si="4"/>
        <v>KH</v>
      </c>
      <c r="F308" s="51">
        <v>50</v>
      </c>
      <c r="G308" s="51" t="s">
        <v>28</v>
      </c>
      <c r="H308" s="51">
        <v>15</v>
      </c>
    </row>
    <row r="309" s="51" customFormat="1" spans="1:8">
      <c r="A309" s="57" t="s">
        <v>662</v>
      </c>
      <c r="B309" s="115" t="s">
        <v>650</v>
      </c>
      <c r="C309" s="57" t="s">
        <v>663</v>
      </c>
      <c r="D309" s="59" t="s">
        <v>27</v>
      </c>
      <c r="E309" s="60" t="str">
        <f ca="1" t="shared" si="4"/>
        <v>KH</v>
      </c>
      <c r="F309" s="51">
        <v>50</v>
      </c>
      <c r="G309" s="51" t="s">
        <v>28</v>
      </c>
      <c r="H309" s="51" t="e">
        <v>#N/A</v>
      </c>
    </row>
    <row r="310" spans="1:8">
      <c r="A310" s="57" t="s">
        <v>664</v>
      </c>
      <c r="B310" s="58"/>
      <c r="C310" s="57" t="s">
        <v>665</v>
      </c>
      <c r="D310" s="59" t="s">
        <v>27</v>
      </c>
      <c r="E310" s="60" t="str">
        <f ca="1" t="shared" si="4"/>
        <v>KE</v>
      </c>
      <c r="F310" s="51">
        <v>50</v>
      </c>
      <c r="G310" s="51" t="s">
        <v>28</v>
      </c>
      <c r="H310" s="51" t="e">
        <v>#N/A</v>
      </c>
    </row>
    <row r="311" spans="1:8">
      <c r="A311" s="57" t="s">
        <v>666</v>
      </c>
      <c r="B311" s="58"/>
      <c r="C311" s="57" t="s">
        <v>667</v>
      </c>
      <c r="D311" s="59" t="s">
        <v>27</v>
      </c>
      <c r="E311" s="60" t="str">
        <f ca="1" t="shared" si="4"/>
        <v>KE</v>
      </c>
      <c r="F311" s="51">
        <v>50</v>
      </c>
      <c r="G311" s="51" t="s">
        <v>28</v>
      </c>
      <c r="H311" s="51">
        <v>0</v>
      </c>
    </row>
    <row r="312" spans="1:8">
      <c r="A312" s="57" t="s">
        <v>668</v>
      </c>
      <c r="B312" s="58"/>
      <c r="C312" s="57" t="s">
        <v>669</v>
      </c>
      <c r="D312" s="59" t="s">
        <v>27</v>
      </c>
      <c r="E312" s="60" t="str">
        <f ca="1" t="shared" si="4"/>
        <v>KE</v>
      </c>
      <c r="F312" s="51">
        <v>50</v>
      </c>
      <c r="G312" s="51" t="s">
        <v>28</v>
      </c>
      <c r="H312" s="51" t="e">
        <v>#N/A</v>
      </c>
    </row>
    <row r="313" spans="1:8">
      <c r="A313" s="57" t="s">
        <v>670</v>
      </c>
      <c r="B313" s="58"/>
      <c r="C313" s="57" t="s">
        <v>671</v>
      </c>
      <c r="D313" s="59" t="s">
        <v>27</v>
      </c>
      <c r="E313" s="60" t="str">
        <f ca="1" t="shared" si="4"/>
        <v>KE</v>
      </c>
      <c r="F313" s="51">
        <v>50</v>
      </c>
      <c r="G313" s="51" t="s">
        <v>28</v>
      </c>
      <c r="H313" s="51" t="e">
        <v>#N/A</v>
      </c>
    </row>
    <row r="314" s="51" customFormat="1" spans="1:8">
      <c r="A314" s="116" t="s">
        <v>672</v>
      </c>
      <c r="B314" s="58"/>
      <c r="C314" s="57" t="s">
        <v>673</v>
      </c>
      <c r="D314" s="59" t="s">
        <v>27</v>
      </c>
      <c r="E314" s="60" t="str">
        <f ca="1" t="shared" si="4"/>
        <v>Kd</v>
      </c>
      <c r="F314" s="51">
        <v>50</v>
      </c>
      <c r="G314" s="51" t="s">
        <v>28</v>
      </c>
      <c r="H314" s="51">
        <v>0</v>
      </c>
    </row>
    <row r="315" s="51" customFormat="1" spans="1:8">
      <c r="A315" s="116" t="s">
        <v>674</v>
      </c>
      <c r="B315" s="58"/>
      <c r="C315" s="57" t="s">
        <v>675</v>
      </c>
      <c r="D315" s="59" t="s">
        <v>27</v>
      </c>
      <c r="E315" s="60" t="str">
        <f ca="1" t="shared" si="4"/>
        <v>Kd</v>
      </c>
      <c r="F315" s="51">
        <v>50</v>
      </c>
      <c r="G315" s="51" t="s">
        <v>28</v>
      </c>
      <c r="H315" s="51">
        <v>0</v>
      </c>
    </row>
    <row r="316" s="51" customFormat="1" spans="1:8">
      <c r="A316" s="116" t="s">
        <v>676</v>
      </c>
      <c r="B316" s="58"/>
      <c r="C316" s="57" t="s">
        <v>677</v>
      </c>
      <c r="D316" s="59" t="s">
        <v>27</v>
      </c>
      <c r="E316" s="60" t="str">
        <f ca="1" t="shared" si="4"/>
        <v>Kd</v>
      </c>
      <c r="F316" s="51">
        <v>50</v>
      </c>
      <c r="G316" s="51" t="s">
        <v>28</v>
      </c>
      <c r="H316" s="51">
        <v>0</v>
      </c>
    </row>
    <row r="317" s="51" customFormat="1" spans="1:8">
      <c r="A317" s="116" t="s">
        <v>678</v>
      </c>
      <c r="B317" s="58"/>
      <c r="C317" s="57" t="s">
        <v>679</v>
      </c>
      <c r="D317" s="59" t="s">
        <v>27</v>
      </c>
      <c r="E317" s="60" t="str">
        <f ca="1" t="shared" si="4"/>
        <v>Kd</v>
      </c>
      <c r="F317" s="51">
        <v>50</v>
      </c>
      <c r="G317" s="51" t="s">
        <v>28</v>
      </c>
      <c r="H317" s="51">
        <v>0</v>
      </c>
    </row>
    <row r="318" s="51" customFormat="1" spans="1:8">
      <c r="A318" s="116" t="s">
        <v>680</v>
      </c>
      <c r="B318" s="58"/>
      <c r="C318" s="57" t="s">
        <v>681</v>
      </c>
      <c r="D318" s="59" t="s">
        <v>27</v>
      </c>
      <c r="E318" s="60" t="str">
        <f ca="1" t="shared" si="4"/>
        <v>Kd</v>
      </c>
      <c r="F318" s="51">
        <v>50</v>
      </c>
      <c r="G318" s="51" t="s">
        <v>28</v>
      </c>
      <c r="H318" s="51">
        <v>0</v>
      </c>
    </row>
    <row r="319" s="51" customFormat="1" spans="1:8">
      <c r="A319" s="116" t="s">
        <v>682</v>
      </c>
      <c r="B319" s="58"/>
      <c r="C319" s="57" t="s">
        <v>683</v>
      </c>
      <c r="D319" s="59" t="s">
        <v>27</v>
      </c>
      <c r="E319" s="60" t="str">
        <f ca="1" t="shared" si="4"/>
        <v>Kd</v>
      </c>
      <c r="F319" s="51">
        <v>50</v>
      </c>
      <c r="G319" s="51" t="s">
        <v>28</v>
      </c>
      <c r="H319" s="51">
        <v>0</v>
      </c>
    </row>
    <row r="320" s="51" customFormat="1" spans="1:8">
      <c r="A320" s="116" t="s">
        <v>684</v>
      </c>
      <c r="B320" s="58"/>
      <c r="C320" s="57" t="s">
        <v>685</v>
      </c>
      <c r="D320" s="59" t="s">
        <v>27</v>
      </c>
      <c r="E320" s="60" t="str">
        <f ca="1" t="shared" si="4"/>
        <v>Kd</v>
      </c>
      <c r="F320" s="51">
        <v>50</v>
      </c>
      <c r="G320" s="51" t="s">
        <v>28</v>
      </c>
      <c r="H320" s="51">
        <v>0</v>
      </c>
    </row>
    <row r="321" s="51" customFormat="1" spans="1:8">
      <c r="A321" s="116" t="s">
        <v>686</v>
      </c>
      <c r="B321" s="58"/>
      <c r="C321" s="57" t="s">
        <v>687</v>
      </c>
      <c r="D321" s="59" t="s">
        <v>27</v>
      </c>
      <c r="E321" s="60" t="str">
        <f ca="1" t="shared" si="4"/>
        <v>KD</v>
      </c>
      <c r="F321" s="51">
        <v>50</v>
      </c>
      <c r="G321" s="51" t="s">
        <v>28</v>
      </c>
      <c r="H321" s="51" t="e">
        <v>#N/A</v>
      </c>
    </row>
    <row r="322" s="51" customFormat="1" spans="1:8">
      <c r="A322" s="116" t="s">
        <v>688</v>
      </c>
      <c r="B322" s="58"/>
      <c r="C322" s="57" t="s">
        <v>689</v>
      </c>
      <c r="D322" s="59" t="s">
        <v>27</v>
      </c>
      <c r="E322" s="60" t="str">
        <f ca="1" t="shared" si="4"/>
        <v>KD</v>
      </c>
      <c r="F322" s="51">
        <v>50</v>
      </c>
      <c r="G322" s="51" t="s">
        <v>28</v>
      </c>
      <c r="H322" s="51" t="e">
        <v>#N/A</v>
      </c>
    </row>
    <row r="323" s="51" customFormat="1" spans="1:8">
      <c r="A323" s="116" t="s">
        <v>690</v>
      </c>
      <c r="B323" s="58"/>
      <c r="C323" s="57" t="s">
        <v>691</v>
      </c>
      <c r="D323" s="59" t="s">
        <v>27</v>
      </c>
      <c r="E323" s="60" t="str">
        <f ca="1" t="shared" ref="E323:E386" si="5">LEFT(A323,2)</f>
        <v>KD</v>
      </c>
      <c r="F323" s="51">
        <v>50</v>
      </c>
      <c r="G323" s="51" t="s">
        <v>28</v>
      </c>
      <c r="H323" s="51" t="e">
        <v>#N/A</v>
      </c>
    </row>
    <row r="324" s="51" customFormat="1" spans="1:8">
      <c r="A324" s="57" t="s">
        <v>692</v>
      </c>
      <c r="B324" s="58"/>
      <c r="C324" s="57" t="s">
        <v>693</v>
      </c>
      <c r="D324" s="59" t="s">
        <v>27</v>
      </c>
      <c r="E324" s="60" t="str">
        <f ca="1" t="shared" si="5"/>
        <v>KN</v>
      </c>
      <c r="F324" s="51">
        <v>50</v>
      </c>
      <c r="G324" s="51" t="s">
        <v>28</v>
      </c>
      <c r="H324" s="51" t="s">
        <v>27</v>
      </c>
    </row>
    <row r="325" s="51" customFormat="1" spans="1:8">
      <c r="A325" s="57" t="s">
        <v>694</v>
      </c>
      <c r="B325" s="58"/>
      <c r="C325" s="57" t="s">
        <v>695</v>
      </c>
      <c r="D325" s="59" t="s">
        <v>27</v>
      </c>
      <c r="E325" s="60" t="str">
        <f ca="1" t="shared" si="5"/>
        <v>KN</v>
      </c>
      <c r="F325" s="51">
        <v>50</v>
      </c>
      <c r="G325" s="51" t="s">
        <v>28</v>
      </c>
      <c r="H325" s="51">
        <v>0</v>
      </c>
    </row>
    <row r="326" s="51" customFormat="1" spans="1:8">
      <c r="A326" s="116" t="s">
        <v>696</v>
      </c>
      <c r="B326" s="58"/>
      <c r="C326" s="57" t="s">
        <v>697</v>
      </c>
      <c r="D326" s="59" t="s">
        <v>27</v>
      </c>
      <c r="E326" s="60" t="str">
        <f ca="1" t="shared" si="5"/>
        <v>KN</v>
      </c>
      <c r="F326" s="51">
        <v>50</v>
      </c>
      <c r="G326" s="51" t="s">
        <v>28</v>
      </c>
      <c r="H326" s="51">
        <v>0</v>
      </c>
    </row>
    <row r="327" s="51" customFormat="1" spans="1:8">
      <c r="A327" s="116" t="s">
        <v>698</v>
      </c>
      <c r="B327" s="58"/>
      <c r="C327" s="57" t="s">
        <v>699</v>
      </c>
      <c r="D327" s="59" t="s">
        <v>27</v>
      </c>
      <c r="E327" s="60" t="str">
        <f ca="1" t="shared" si="5"/>
        <v>KN</v>
      </c>
      <c r="F327" s="51">
        <v>50</v>
      </c>
      <c r="G327" s="51" t="s">
        <v>28</v>
      </c>
      <c r="H327" s="51">
        <v>0</v>
      </c>
    </row>
    <row r="328" s="51" customFormat="1" spans="1:8">
      <c r="A328" s="116" t="s">
        <v>700</v>
      </c>
      <c r="B328" s="58"/>
      <c r="C328" s="57" t="s">
        <v>701</v>
      </c>
      <c r="D328" s="59" t="s">
        <v>27</v>
      </c>
      <c r="E328" s="60" t="str">
        <f ca="1" t="shared" si="5"/>
        <v>KN</v>
      </c>
      <c r="F328" s="51">
        <v>50</v>
      </c>
      <c r="G328" s="51" t="s">
        <v>28</v>
      </c>
      <c r="H328" s="51">
        <v>0</v>
      </c>
    </row>
    <row r="329" s="51" customFormat="1" spans="1:8">
      <c r="A329" s="116" t="s">
        <v>702</v>
      </c>
      <c r="B329" s="58"/>
      <c r="C329" s="57" t="s">
        <v>703</v>
      </c>
      <c r="D329" s="59" t="s">
        <v>27</v>
      </c>
      <c r="E329" s="60" t="str">
        <f ca="1" t="shared" si="5"/>
        <v>KN</v>
      </c>
      <c r="F329" s="51">
        <v>50</v>
      </c>
      <c r="G329" s="51" t="s">
        <v>28</v>
      </c>
      <c r="H329" s="51">
        <v>0</v>
      </c>
    </row>
    <row r="330" s="51" customFormat="1" spans="1:8">
      <c r="A330" s="116" t="s">
        <v>704</v>
      </c>
      <c r="B330" s="58"/>
      <c r="C330" s="57" t="s">
        <v>705</v>
      </c>
      <c r="D330" s="59" t="s">
        <v>27</v>
      </c>
      <c r="E330" s="60" t="str">
        <f ca="1" t="shared" si="5"/>
        <v>KN</v>
      </c>
      <c r="F330" s="51">
        <v>50</v>
      </c>
      <c r="G330" s="51" t="s">
        <v>28</v>
      </c>
      <c r="H330" s="51">
        <v>0</v>
      </c>
    </row>
    <row r="331" s="51" customFormat="1" spans="1:8">
      <c r="A331" s="116" t="s">
        <v>706</v>
      </c>
      <c r="B331" s="58"/>
      <c r="C331" s="57" t="s">
        <v>707</v>
      </c>
      <c r="D331" s="59" t="s">
        <v>27</v>
      </c>
      <c r="E331" s="60" t="str">
        <f ca="1" t="shared" si="5"/>
        <v>KN</v>
      </c>
      <c r="F331" s="51">
        <v>50</v>
      </c>
      <c r="G331" s="51" t="s">
        <v>28</v>
      </c>
      <c r="H331" s="51">
        <v>0</v>
      </c>
    </row>
    <row r="332" s="51" customFormat="1" spans="1:8">
      <c r="A332" s="116" t="s">
        <v>708</v>
      </c>
      <c r="B332" s="58"/>
      <c r="C332" s="57" t="s">
        <v>709</v>
      </c>
      <c r="D332" s="59" t="s">
        <v>27</v>
      </c>
      <c r="E332" s="60" t="str">
        <f ca="1" t="shared" si="5"/>
        <v>KN</v>
      </c>
      <c r="F332" s="51">
        <v>50</v>
      </c>
      <c r="G332" s="51" t="s">
        <v>28</v>
      </c>
      <c r="H332" s="51" t="e">
        <v>#N/A</v>
      </c>
    </row>
    <row r="333" s="51" customFormat="1" spans="1:8">
      <c r="A333" s="116" t="s">
        <v>710</v>
      </c>
      <c r="B333" s="58"/>
      <c r="C333" s="57" t="s">
        <v>711</v>
      </c>
      <c r="D333" s="59" t="s">
        <v>27</v>
      </c>
      <c r="E333" s="60" t="str">
        <f ca="1" t="shared" si="5"/>
        <v>KN</v>
      </c>
      <c r="F333" s="51">
        <v>50</v>
      </c>
      <c r="G333" s="51" t="s">
        <v>28</v>
      </c>
      <c r="H333" s="51" t="e">
        <v>#N/A</v>
      </c>
    </row>
    <row r="334" s="51" customFormat="1" spans="1:8">
      <c r="A334" s="116" t="s">
        <v>712</v>
      </c>
      <c r="B334" s="58"/>
      <c r="C334" s="57" t="s">
        <v>713</v>
      </c>
      <c r="D334" s="59" t="s">
        <v>27</v>
      </c>
      <c r="E334" s="60" t="str">
        <f ca="1" t="shared" si="5"/>
        <v>KN</v>
      </c>
      <c r="F334" s="51">
        <v>50</v>
      </c>
      <c r="G334" s="51" t="s">
        <v>28</v>
      </c>
      <c r="H334" s="51" t="e">
        <v>#N/A</v>
      </c>
    </row>
    <row r="335" spans="1:8">
      <c r="A335" s="57" t="s">
        <v>714</v>
      </c>
      <c r="B335" s="58"/>
      <c r="C335" s="57" t="s">
        <v>715</v>
      </c>
      <c r="D335" s="59" t="s">
        <v>27</v>
      </c>
      <c r="E335" s="60" t="str">
        <f ca="1" t="shared" si="5"/>
        <v>GN</v>
      </c>
      <c r="F335" s="51">
        <v>50</v>
      </c>
      <c r="G335" s="51" t="s">
        <v>28</v>
      </c>
      <c r="H335" s="51">
        <v>0</v>
      </c>
    </row>
    <row r="336" spans="1:8">
      <c r="A336" s="57" t="s">
        <v>716</v>
      </c>
      <c r="B336" s="58"/>
      <c r="C336" s="57" t="s">
        <v>717</v>
      </c>
      <c r="D336" s="59" t="s">
        <v>27</v>
      </c>
      <c r="E336" s="60" t="str">
        <f ca="1" t="shared" si="5"/>
        <v>MA</v>
      </c>
      <c r="F336" s="51">
        <v>50</v>
      </c>
      <c r="G336" s="51" t="s">
        <v>28</v>
      </c>
      <c r="H336" s="51">
        <v>1</v>
      </c>
    </row>
    <row r="337" spans="1:8">
      <c r="A337" s="57" t="s">
        <v>718</v>
      </c>
      <c r="B337" s="58"/>
      <c r="C337" s="57" t="s">
        <v>719</v>
      </c>
      <c r="D337" s="59" t="s">
        <v>27</v>
      </c>
      <c r="E337" s="60" t="str">
        <f ca="1" t="shared" si="5"/>
        <v>MN</v>
      </c>
      <c r="F337" s="51">
        <v>50</v>
      </c>
      <c r="G337" s="51" t="s">
        <v>28</v>
      </c>
      <c r="H337" s="51">
        <v>0</v>
      </c>
    </row>
    <row r="338" spans="1:8">
      <c r="A338" s="57" t="s">
        <v>720</v>
      </c>
      <c r="B338" s="58"/>
      <c r="C338" s="57" t="s">
        <v>721</v>
      </c>
      <c r="D338" s="59" t="s">
        <v>27</v>
      </c>
      <c r="E338" s="60" t="str">
        <f ca="1" t="shared" si="5"/>
        <v>MN</v>
      </c>
      <c r="F338" s="51">
        <v>50</v>
      </c>
      <c r="G338" s="51" t="s">
        <v>28</v>
      </c>
      <c r="H338" s="51" t="e">
        <v>#N/A</v>
      </c>
    </row>
    <row r="339" spans="1:8">
      <c r="A339" s="57" t="s">
        <v>722</v>
      </c>
      <c r="B339" s="58"/>
      <c r="C339" s="57" t="s">
        <v>723</v>
      </c>
      <c r="D339" s="59" t="s">
        <v>27</v>
      </c>
      <c r="E339" s="60" t="str">
        <f ca="1" t="shared" si="5"/>
        <v>MT</v>
      </c>
      <c r="F339" s="51">
        <v>50</v>
      </c>
      <c r="G339" s="51" t="s">
        <v>28</v>
      </c>
      <c r="H339" s="51">
        <v>1</v>
      </c>
    </row>
    <row r="340" spans="1:8">
      <c r="A340" s="57" t="s">
        <v>724</v>
      </c>
      <c r="B340" s="58"/>
      <c r="C340" s="57" t="s">
        <v>725</v>
      </c>
      <c r="D340" s="59" t="s">
        <v>27</v>
      </c>
      <c r="E340" s="60" t="str">
        <f ca="1" t="shared" si="5"/>
        <v>MT</v>
      </c>
      <c r="F340" s="51">
        <v>50</v>
      </c>
      <c r="G340" s="51" t="s">
        <v>28</v>
      </c>
      <c r="H340" s="51" t="e">
        <v>#N/A</v>
      </c>
    </row>
    <row r="341" spans="1:8">
      <c r="A341" s="57" t="s">
        <v>726</v>
      </c>
      <c r="B341" s="58"/>
      <c r="C341" s="57" t="s">
        <v>727</v>
      </c>
      <c r="D341" s="59" t="s">
        <v>27</v>
      </c>
      <c r="E341" s="60" t="str">
        <f ca="1" t="shared" si="5"/>
        <v>VT</v>
      </c>
      <c r="F341" s="51">
        <v>50</v>
      </c>
      <c r="G341" s="51" t="s">
        <v>28</v>
      </c>
      <c r="H341" s="51">
        <v>0</v>
      </c>
    </row>
    <row r="342" s="51" customFormat="1" spans="1:8">
      <c r="A342" s="116" t="s">
        <v>728</v>
      </c>
      <c r="B342" s="58"/>
      <c r="C342" s="57" t="s">
        <v>729</v>
      </c>
      <c r="D342" s="59" t="s">
        <v>27</v>
      </c>
      <c r="E342" s="60" t="str">
        <f ca="1" t="shared" si="5"/>
        <v>ON</v>
      </c>
      <c r="F342" s="51">
        <v>50</v>
      </c>
      <c r="G342" s="51" t="s">
        <v>28</v>
      </c>
      <c r="H342" s="51" t="e">
        <v>#N/A</v>
      </c>
    </row>
    <row r="343" s="51" customFormat="1" spans="1:8">
      <c r="A343" s="116" t="s">
        <v>730</v>
      </c>
      <c r="B343" s="58"/>
      <c r="C343" s="57" t="s">
        <v>731</v>
      </c>
      <c r="D343" s="59" t="s">
        <v>27</v>
      </c>
      <c r="E343" s="60" t="str">
        <f ca="1" t="shared" si="5"/>
        <v>ON</v>
      </c>
      <c r="F343" s="51">
        <v>50</v>
      </c>
      <c r="G343" s="51" t="s">
        <v>28</v>
      </c>
      <c r="H343" s="51" t="e">
        <v>#N/A</v>
      </c>
    </row>
    <row r="344" s="51" customFormat="1" spans="1:8">
      <c r="A344" s="116" t="s">
        <v>732</v>
      </c>
      <c r="B344" s="58"/>
      <c r="C344" s="57" t="s">
        <v>733</v>
      </c>
      <c r="D344" s="59" t="s">
        <v>27</v>
      </c>
      <c r="E344" s="60" t="str">
        <f ca="1" t="shared" si="5"/>
        <v>ON</v>
      </c>
      <c r="F344" s="51">
        <v>50</v>
      </c>
      <c r="G344" s="51" t="s">
        <v>28</v>
      </c>
      <c r="H344" s="51" t="e">
        <v>#N/A</v>
      </c>
    </row>
    <row r="345" s="51" customFormat="1" spans="1:8">
      <c r="A345" s="57" t="s">
        <v>734</v>
      </c>
      <c r="B345" s="58"/>
      <c r="C345" s="57" t="s">
        <v>735</v>
      </c>
      <c r="D345" s="59" t="s">
        <v>27</v>
      </c>
      <c r="E345" s="60" t="str">
        <f ca="1" t="shared" si="5"/>
        <v>ON</v>
      </c>
      <c r="F345" s="51">
        <v>50</v>
      </c>
      <c r="G345" s="51" t="s">
        <v>28</v>
      </c>
      <c r="H345" s="51" t="e">
        <v>#N/A</v>
      </c>
    </row>
    <row r="346" s="51" customFormat="1" spans="1:8">
      <c r="A346" s="116" t="s">
        <v>736</v>
      </c>
      <c r="B346" s="58"/>
      <c r="C346" s="57" t="s">
        <v>737</v>
      </c>
      <c r="D346" s="59" t="s">
        <v>27</v>
      </c>
      <c r="E346" s="60" t="str">
        <f ca="1" t="shared" si="5"/>
        <v>ON</v>
      </c>
      <c r="F346" s="51">
        <v>50</v>
      </c>
      <c r="G346" s="51" t="s">
        <v>28</v>
      </c>
      <c r="H346" s="51" t="e">
        <v>#N/A</v>
      </c>
    </row>
    <row r="347" s="51" customFormat="1" spans="1:8">
      <c r="A347" s="116" t="s">
        <v>738</v>
      </c>
      <c r="B347" s="58"/>
      <c r="C347" s="57" t="s">
        <v>739</v>
      </c>
      <c r="D347" s="59" t="s">
        <v>27</v>
      </c>
      <c r="E347" s="60" t="str">
        <f ca="1" t="shared" si="5"/>
        <v>ON</v>
      </c>
      <c r="F347" s="51">
        <v>50</v>
      </c>
      <c r="G347" s="51" t="s">
        <v>28</v>
      </c>
      <c r="H347" s="51" t="e">
        <v>#N/A</v>
      </c>
    </row>
    <row r="348" s="51" customFormat="1" spans="1:8">
      <c r="A348" s="116" t="s">
        <v>740</v>
      </c>
      <c r="B348" s="58"/>
      <c r="C348" s="57" t="s">
        <v>741</v>
      </c>
      <c r="D348" s="59" t="s">
        <v>27</v>
      </c>
      <c r="E348" s="60" t="str">
        <f ca="1" t="shared" si="5"/>
        <v>ON</v>
      </c>
      <c r="F348" s="51">
        <v>50</v>
      </c>
      <c r="G348" s="51" t="s">
        <v>28</v>
      </c>
      <c r="H348" s="51" t="e">
        <v>#N/A</v>
      </c>
    </row>
    <row r="349" s="51" customFormat="1" spans="1:8">
      <c r="A349" s="116" t="s">
        <v>742</v>
      </c>
      <c r="B349" s="58"/>
      <c r="C349" s="57" t="s">
        <v>743</v>
      </c>
      <c r="D349" s="59" t="s">
        <v>27</v>
      </c>
      <c r="E349" s="60" t="str">
        <f ca="1" t="shared" si="5"/>
        <v>ON</v>
      </c>
      <c r="F349" s="51">
        <v>50</v>
      </c>
      <c r="G349" s="51" t="s">
        <v>28</v>
      </c>
      <c r="H349" s="51" t="e">
        <v>#N/A</v>
      </c>
    </row>
    <row r="350" s="51" customFormat="1" spans="1:8">
      <c r="A350" s="116" t="s">
        <v>744</v>
      </c>
      <c r="B350" s="58"/>
      <c r="C350" s="57" t="s">
        <v>745</v>
      </c>
      <c r="D350" s="59" t="s">
        <v>27</v>
      </c>
      <c r="E350" s="60" t="str">
        <f ca="1" t="shared" si="5"/>
        <v>ON</v>
      </c>
      <c r="F350" s="51">
        <v>50</v>
      </c>
      <c r="G350" s="51" t="s">
        <v>28</v>
      </c>
      <c r="H350" s="51">
        <v>0</v>
      </c>
    </row>
    <row r="351" s="51" customFormat="1" spans="1:8">
      <c r="A351" s="116" t="s">
        <v>746</v>
      </c>
      <c r="B351" s="58"/>
      <c r="C351" s="57" t="s">
        <v>747</v>
      </c>
      <c r="D351" s="59" t="s">
        <v>27</v>
      </c>
      <c r="E351" s="60" t="str">
        <f ca="1" t="shared" si="5"/>
        <v>ON</v>
      </c>
      <c r="F351" s="51">
        <v>50</v>
      </c>
      <c r="G351" s="51" t="s">
        <v>28</v>
      </c>
      <c r="H351" s="51">
        <v>0</v>
      </c>
    </row>
    <row r="352" s="51" customFormat="1" spans="1:8">
      <c r="A352" s="57" t="s">
        <v>748</v>
      </c>
      <c r="B352" s="58"/>
      <c r="C352" s="57" t="s">
        <v>749</v>
      </c>
      <c r="D352" s="59" t="s">
        <v>27</v>
      </c>
      <c r="E352" s="60" t="str">
        <f ca="1" t="shared" si="5"/>
        <v>ON</v>
      </c>
      <c r="F352" s="51">
        <v>50</v>
      </c>
      <c r="G352" s="51" t="s">
        <v>28</v>
      </c>
      <c r="H352" s="51">
        <v>0</v>
      </c>
    </row>
    <row r="353" s="51" customFormat="1" spans="1:8">
      <c r="A353" s="116" t="s">
        <v>750</v>
      </c>
      <c r="B353" s="58"/>
      <c r="C353" s="57" t="s">
        <v>751</v>
      </c>
      <c r="D353" s="59" t="s">
        <v>27</v>
      </c>
      <c r="E353" s="60" t="str">
        <f ca="1" t="shared" si="5"/>
        <v>ON</v>
      </c>
      <c r="F353" s="51">
        <v>50</v>
      </c>
      <c r="G353" s="51" t="s">
        <v>28</v>
      </c>
      <c r="H353" s="51">
        <v>0</v>
      </c>
    </row>
    <row r="354" s="51" customFormat="1" spans="1:8">
      <c r="A354" s="116" t="s">
        <v>752</v>
      </c>
      <c r="B354" s="58"/>
      <c r="C354" s="57" t="s">
        <v>753</v>
      </c>
      <c r="D354" s="59" t="s">
        <v>27</v>
      </c>
      <c r="E354" s="60" t="str">
        <f ca="1" t="shared" si="5"/>
        <v>ON</v>
      </c>
      <c r="F354" s="51">
        <v>50</v>
      </c>
      <c r="G354" s="51" t="s">
        <v>28</v>
      </c>
      <c r="H354" s="51">
        <v>0</v>
      </c>
    </row>
    <row r="355" s="51" customFormat="1" spans="1:8">
      <c r="A355" s="116" t="s">
        <v>754</v>
      </c>
      <c r="B355" s="58"/>
      <c r="C355" s="57" t="s">
        <v>755</v>
      </c>
      <c r="D355" s="59" t="s">
        <v>27</v>
      </c>
      <c r="E355" s="60" t="str">
        <f ca="1" t="shared" si="5"/>
        <v>ON</v>
      </c>
      <c r="F355" s="51">
        <v>50</v>
      </c>
      <c r="G355" s="51" t="s">
        <v>28</v>
      </c>
      <c r="H355" s="51">
        <v>0</v>
      </c>
    </row>
    <row r="356" s="51" customFormat="1" spans="1:8">
      <c r="A356" s="116" t="s">
        <v>756</v>
      </c>
      <c r="B356" s="58"/>
      <c r="C356" s="57" t="s">
        <v>757</v>
      </c>
      <c r="D356" s="59" t="s">
        <v>27</v>
      </c>
      <c r="E356" s="60" t="str">
        <f ca="1" t="shared" si="5"/>
        <v>ON</v>
      </c>
      <c r="F356" s="51">
        <v>50</v>
      </c>
      <c r="G356" s="51" t="s">
        <v>28</v>
      </c>
      <c r="H356" s="51">
        <v>0</v>
      </c>
    </row>
    <row r="357" spans="1:8">
      <c r="A357" s="57" t="s">
        <v>758</v>
      </c>
      <c r="B357" s="58"/>
      <c r="C357" s="57" t="s">
        <v>759</v>
      </c>
      <c r="D357" s="59" t="s">
        <v>27</v>
      </c>
      <c r="E357" s="60" t="str">
        <f ca="1" t="shared" si="5"/>
        <v>ON</v>
      </c>
      <c r="F357" s="51">
        <v>50</v>
      </c>
      <c r="G357" s="51" t="s">
        <v>28</v>
      </c>
      <c r="H357" s="51" t="e">
        <v>#N/A</v>
      </c>
    </row>
    <row r="358" spans="1:8">
      <c r="A358" s="57" t="s">
        <v>760</v>
      </c>
      <c r="B358" s="58"/>
      <c r="C358" s="57" t="s">
        <v>761</v>
      </c>
      <c r="D358" s="59" t="s">
        <v>27</v>
      </c>
      <c r="E358" s="60" t="str">
        <f ca="1" t="shared" si="5"/>
        <v>PU</v>
      </c>
      <c r="F358" s="51">
        <v>50</v>
      </c>
      <c r="G358" s="51" t="s">
        <v>28</v>
      </c>
      <c r="H358" s="51" t="e">
        <v>#N/A</v>
      </c>
    </row>
    <row r="359" spans="1:8">
      <c r="A359" s="57" t="s">
        <v>762</v>
      </c>
      <c r="B359" s="58"/>
      <c r="C359" s="57" t="s">
        <v>763</v>
      </c>
      <c r="D359" s="59" t="s">
        <v>57</v>
      </c>
      <c r="E359" s="60" t="str">
        <f ca="1" t="shared" si="5"/>
        <v>R1</v>
      </c>
      <c r="F359" s="51">
        <v>50</v>
      </c>
      <c r="G359" s="51" t="s">
        <v>28</v>
      </c>
      <c r="H359" s="51">
        <v>0</v>
      </c>
    </row>
    <row r="360" spans="1:8">
      <c r="A360" s="57" t="s">
        <v>764</v>
      </c>
      <c r="B360" s="58"/>
      <c r="C360" s="57" t="s">
        <v>765</v>
      </c>
      <c r="D360" s="59" t="s">
        <v>57</v>
      </c>
      <c r="E360" s="60" t="str">
        <f ca="1" t="shared" si="5"/>
        <v>R2</v>
      </c>
      <c r="F360" s="51">
        <v>50</v>
      </c>
      <c r="G360" s="51" t="s">
        <v>28</v>
      </c>
      <c r="H360" s="51">
        <v>0</v>
      </c>
    </row>
    <row r="361" spans="1:8">
      <c r="A361" s="57" t="s">
        <v>766</v>
      </c>
      <c r="B361" s="58"/>
      <c r="C361" s="57" t="s">
        <v>767</v>
      </c>
      <c r="D361" s="59" t="s">
        <v>57</v>
      </c>
      <c r="E361" s="60" t="str">
        <f ca="1" t="shared" si="5"/>
        <v>R3</v>
      </c>
      <c r="F361" s="51">
        <v>50</v>
      </c>
      <c r="G361" s="51" t="s">
        <v>28</v>
      </c>
      <c r="H361" s="51">
        <v>0</v>
      </c>
    </row>
    <row r="362" spans="1:8">
      <c r="A362" s="57" t="s">
        <v>768</v>
      </c>
      <c r="B362" s="58"/>
      <c r="C362" s="116" t="s">
        <v>769</v>
      </c>
      <c r="D362" s="59" t="s">
        <v>27</v>
      </c>
      <c r="E362" s="60" t="str">
        <f ca="1" t="shared" si="5"/>
        <v>R4</v>
      </c>
      <c r="F362" s="51">
        <v>50</v>
      </c>
      <c r="G362" s="51" t="s">
        <v>28</v>
      </c>
      <c r="H362" s="51">
        <v>0</v>
      </c>
    </row>
    <row r="363" spans="1:8">
      <c r="A363" s="57" t="s">
        <v>770</v>
      </c>
      <c r="B363" s="58"/>
      <c r="C363" s="57" t="s">
        <v>771</v>
      </c>
      <c r="D363" s="59" t="s">
        <v>57</v>
      </c>
      <c r="E363" s="60" t="str">
        <f ca="1" t="shared" si="5"/>
        <v>R4</v>
      </c>
      <c r="F363" s="51">
        <v>50</v>
      </c>
      <c r="G363" s="51" t="s">
        <v>28</v>
      </c>
      <c r="H363" s="51">
        <v>0</v>
      </c>
    </row>
    <row r="364" spans="1:8">
      <c r="A364" s="57" t="s">
        <v>772</v>
      </c>
      <c r="B364" s="58"/>
      <c r="C364" s="57" t="s">
        <v>773</v>
      </c>
      <c r="D364" s="59" t="s">
        <v>27</v>
      </c>
      <c r="E364" s="60" t="str">
        <f ca="1" t="shared" si="5"/>
        <v>SD</v>
      </c>
      <c r="F364" s="51">
        <v>6</v>
      </c>
      <c r="G364" s="51" t="s">
        <v>28</v>
      </c>
      <c r="H364" s="51">
        <v>0</v>
      </c>
    </row>
    <row r="365" spans="1:8">
      <c r="A365" s="57" t="s">
        <v>774</v>
      </c>
      <c r="B365" s="58"/>
      <c r="C365" s="57" t="s">
        <v>775</v>
      </c>
      <c r="D365" s="59" t="s">
        <v>57</v>
      </c>
      <c r="E365" s="60" t="str">
        <f ca="1" t="shared" si="5"/>
        <v>SD</v>
      </c>
      <c r="F365" s="51">
        <v>6</v>
      </c>
      <c r="G365" s="51" t="s">
        <v>28</v>
      </c>
      <c r="H365" s="51" t="e">
        <v>#N/A</v>
      </c>
    </row>
    <row r="366" spans="1:8">
      <c r="A366" s="57" t="s">
        <v>776</v>
      </c>
      <c r="B366" s="58"/>
      <c r="C366" s="57" t="s">
        <v>777</v>
      </c>
      <c r="D366" s="59" t="s">
        <v>57</v>
      </c>
      <c r="E366" s="60" t="str">
        <f ca="1" t="shared" si="5"/>
        <v>SD</v>
      </c>
      <c r="F366" s="51">
        <v>6</v>
      </c>
      <c r="G366" s="51" t="s">
        <v>28</v>
      </c>
      <c r="H366" s="51" t="e">
        <v>#N/A</v>
      </c>
    </row>
    <row r="367" spans="1:8">
      <c r="A367" s="57" t="s">
        <v>778</v>
      </c>
      <c r="B367" s="58"/>
      <c r="C367" s="57" t="s">
        <v>779</v>
      </c>
      <c r="D367" s="59" t="s">
        <v>27</v>
      </c>
      <c r="E367" s="60" t="str">
        <f ca="1" t="shared" si="5"/>
        <v>SD</v>
      </c>
      <c r="F367" s="51">
        <v>6</v>
      </c>
      <c r="G367" s="51" t="s">
        <v>28</v>
      </c>
      <c r="H367" s="51" t="e">
        <v>#N/A</v>
      </c>
    </row>
    <row r="368" spans="1:8">
      <c r="A368" s="57" t="s">
        <v>780</v>
      </c>
      <c r="B368" s="58"/>
      <c r="C368" s="57" t="s">
        <v>781</v>
      </c>
      <c r="D368" s="59" t="s">
        <v>27</v>
      </c>
      <c r="E368" s="60" t="str">
        <f ca="1" t="shared" si="5"/>
        <v>SN</v>
      </c>
      <c r="F368" s="51">
        <v>50</v>
      </c>
      <c r="G368" s="51" t="s">
        <v>28</v>
      </c>
      <c r="H368" s="51">
        <v>1</v>
      </c>
    </row>
    <row r="369" spans="1:8">
      <c r="A369" s="57" t="s">
        <v>782</v>
      </c>
      <c r="B369" s="58"/>
      <c r="C369" s="57" t="s">
        <v>783</v>
      </c>
      <c r="D369" s="59" t="s">
        <v>27</v>
      </c>
      <c r="E369" s="60" t="str">
        <f ca="1" t="shared" si="5"/>
        <v>SO</v>
      </c>
      <c r="F369" s="51">
        <v>50</v>
      </c>
      <c r="G369" s="51" t="s">
        <v>28</v>
      </c>
      <c r="H369" s="51">
        <v>0</v>
      </c>
    </row>
    <row r="370" spans="1:8">
      <c r="A370" s="57" t="s">
        <v>784</v>
      </c>
      <c r="B370" s="58"/>
      <c r="C370" s="57" t="s">
        <v>785</v>
      </c>
      <c r="D370" s="59" t="s">
        <v>786</v>
      </c>
      <c r="E370" s="60" t="str">
        <f ca="1" t="shared" si="5"/>
        <v>ST</v>
      </c>
      <c r="F370" s="51">
        <v>50</v>
      </c>
      <c r="G370" s="51" t="s">
        <v>28</v>
      </c>
      <c r="H370" s="51">
        <v>0</v>
      </c>
    </row>
    <row r="371" spans="1:8">
      <c r="A371" s="57" t="s">
        <v>787</v>
      </c>
      <c r="B371" s="58"/>
      <c r="C371" s="57" t="s">
        <v>788</v>
      </c>
      <c r="D371" s="59" t="s">
        <v>786</v>
      </c>
      <c r="E371" s="60" t="str">
        <f ca="1" t="shared" si="5"/>
        <v>ST</v>
      </c>
      <c r="F371" s="51">
        <v>50</v>
      </c>
      <c r="G371" s="51" t="s">
        <v>28</v>
      </c>
      <c r="H371" s="51" t="e">
        <v>#N/A</v>
      </c>
    </row>
    <row r="372" spans="1:8">
      <c r="A372" s="57" t="s">
        <v>789</v>
      </c>
      <c r="B372" s="58"/>
      <c r="C372" s="57" t="s">
        <v>790</v>
      </c>
      <c r="D372" s="59" t="s">
        <v>791</v>
      </c>
      <c r="E372" s="60" t="str">
        <f ca="1" t="shared" si="5"/>
        <v>ST</v>
      </c>
      <c r="F372" s="51">
        <v>7</v>
      </c>
      <c r="G372" s="51" t="s">
        <v>28</v>
      </c>
      <c r="H372" s="51">
        <v>0</v>
      </c>
    </row>
    <row r="373" spans="1:8">
      <c r="A373" s="57" t="s">
        <v>792</v>
      </c>
      <c r="B373" s="58"/>
      <c r="C373" s="57" t="s">
        <v>793</v>
      </c>
      <c r="D373" s="59" t="s">
        <v>27</v>
      </c>
      <c r="E373" s="60" t="str">
        <f ca="1" t="shared" si="5"/>
        <v>St</v>
      </c>
      <c r="F373" s="51">
        <v>50</v>
      </c>
      <c r="G373" s="51" t="s">
        <v>28</v>
      </c>
      <c r="H373" s="51" t="e">
        <v>#N/A</v>
      </c>
    </row>
    <row r="374" spans="1:8">
      <c r="A374" s="57" t="s">
        <v>794</v>
      </c>
      <c r="B374" s="58"/>
      <c r="C374" s="57" t="s">
        <v>795</v>
      </c>
      <c r="D374" s="59" t="s">
        <v>227</v>
      </c>
      <c r="E374" s="60" t="str">
        <f ca="1" t="shared" si="5"/>
        <v>S4</v>
      </c>
      <c r="F374" s="51">
        <v>50</v>
      </c>
      <c r="G374" s="51" t="s">
        <v>28</v>
      </c>
      <c r="H374" s="51" t="e">
        <v>#N/A</v>
      </c>
    </row>
    <row r="375" spans="1:8">
      <c r="A375" s="57" t="s">
        <v>796</v>
      </c>
      <c r="B375" s="58"/>
      <c r="C375" s="57" t="s">
        <v>797</v>
      </c>
      <c r="D375" s="59" t="s">
        <v>227</v>
      </c>
      <c r="E375" s="60" t="str">
        <f ca="1" t="shared" si="5"/>
        <v>S5</v>
      </c>
      <c r="F375" s="51">
        <v>50</v>
      </c>
      <c r="G375" s="51" t="s">
        <v>28</v>
      </c>
      <c r="H375" s="51">
        <v>0.7852</v>
      </c>
    </row>
    <row r="376" spans="1:8">
      <c r="A376" s="57" t="s">
        <v>798</v>
      </c>
      <c r="B376" s="58"/>
      <c r="C376" s="57" t="s">
        <v>799</v>
      </c>
      <c r="D376" s="59" t="s">
        <v>227</v>
      </c>
      <c r="E376" s="60" t="str">
        <f ca="1" t="shared" si="5"/>
        <v>S6</v>
      </c>
      <c r="F376" s="51">
        <v>50</v>
      </c>
      <c r="G376" s="51" t="s">
        <v>28</v>
      </c>
      <c r="H376" s="51">
        <v>10.39968</v>
      </c>
    </row>
    <row r="377" spans="1:8">
      <c r="A377" s="57" t="s">
        <v>800</v>
      </c>
      <c r="B377" s="58"/>
      <c r="C377" s="57" t="s">
        <v>801</v>
      </c>
      <c r="D377" s="59" t="s">
        <v>227</v>
      </c>
      <c r="E377" s="60" t="str">
        <f ca="1" t="shared" si="5"/>
        <v>S7</v>
      </c>
      <c r="F377" s="51">
        <v>50</v>
      </c>
      <c r="G377" s="51" t="s">
        <v>28</v>
      </c>
      <c r="H377" s="51" t="e">
        <v>#N/A</v>
      </c>
    </row>
    <row r="378" spans="1:8">
      <c r="A378" s="116" t="s">
        <v>802</v>
      </c>
      <c r="B378" s="58"/>
      <c r="C378" s="57" t="s">
        <v>803</v>
      </c>
      <c r="D378" s="59" t="s">
        <v>227</v>
      </c>
      <c r="E378" s="60" t="str">
        <f ca="1" t="shared" si="5"/>
        <v>S8</v>
      </c>
      <c r="F378" s="51">
        <v>50</v>
      </c>
      <c r="G378" s="51" t="s">
        <v>28</v>
      </c>
      <c r="H378" s="51" t="e">
        <v>#N/A</v>
      </c>
    </row>
    <row r="379" spans="1:8">
      <c r="A379" s="116" t="s">
        <v>804</v>
      </c>
      <c r="B379" s="58"/>
      <c r="C379" s="57" t="s">
        <v>805</v>
      </c>
      <c r="D379" s="59" t="s">
        <v>227</v>
      </c>
      <c r="E379" s="60" t="str">
        <f ca="1" t="shared" si="5"/>
        <v>S8</v>
      </c>
      <c r="F379" s="51">
        <v>50</v>
      </c>
      <c r="G379" s="51" t="s">
        <v>28</v>
      </c>
      <c r="H379" s="51" t="e">
        <v>#N/A</v>
      </c>
    </row>
    <row r="380" spans="1:8">
      <c r="A380" s="57" t="s">
        <v>806</v>
      </c>
      <c r="B380" s="58"/>
      <c r="C380" s="57" t="s">
        <v>807</v>
      </c>
      <c r="D380" s="59" t="s">
        <v>227</v>
      </c>
      <c r="E380" s="60" t="str">
        <f ca="1" t="shared" si="5"/>
        <v>S1</v>
      </c>
      <c r="F380" s="51">
        <v>50</v>
      </c>
      <c r="G380" s="51" t="s">
        <v>28</v>
      </c>
      <c r="H380" s="51" t="e">
        <v>#N/A</v>
      </c>
    </row>
    <row r="381" spans="1:8">
      <c r="A381" s="116" t="s">
        <v>808</v>
      </c>
      <c r="B381" s="58"/>
      <c r="C381" s="57" t="s">
        <v>809</v>
      </c>
      <c r="D381" s="59" t="s">
        <v>227</v>
      </c>
      <c r="E381" s="60" t="str">
        <f ca="1" t="shared" si="5"/>
        <v>SL</v>
      </c>
      <c r="F381" s="51">
        <v>50</v>
      </c>
      <c r="G381" s="51" t="s">
        <v>28</v>
      </c>
      <c r="H381" s="51" t="e">
        <v>#N/A</v>
      </c>
    </row>
    <row r="382" spans="1:8">
      <c r="A382" s="116" t="s">
        <v>810</v>
      </c>
      <c r="B382" s="58"/>
      <c r="C382" s="57" t="s">
        <v>811</v>
      </c>
      <c r="D382" s="59" t="s">
        <v>227</v>
      </c>
      <c r="E382" s="60" t="str">
        <f ca="1" t="shared" si="5"/>
        <v>SL</v>
      </c>
      <c r="F382" s="51">
        <v>50</v>
      </c>
      <c r="G382" s="51" t="s">
        <v>28</v>
      </c>
      <c r="H382" s="51" t="e">
        <v>#N/A</v>
      </c>
    </row>
    <row r="383" spans="1:8">
      <c r="A383" s="57" t="s">
        <v>812</v>
      </c>
      <c r="B383" s="58"/>
      <c r="C383" s="57" t="s">
        <v>813</v>
      </c>
      <c r="D383" s="59" t="s">
        <v>227</v>
      </c>
      <c r="E383" s="60" t="str">
        <f ca="1" t="shared" si="5"/>
        <v>SL</v>
      </c>
      <c r="F383" s="51">
        <v>50</v>
      </c>
      <c r="G383" s="51" t="s">
        <v>28</v>
      </c>
      <c r="H383" s="51">
        <v>26.3</v>
      </c>
    </row>
    <row r="384" spans="1:8">
      <c r="A384" s="116" t="s">
        <v>814</v>
      </c>
      <c r="B384" s="58"/>
      <c r="C384" s="57" t="s">
        <v>815</v>
      </c>
      <c r="D384" s="59" t="s">
        <v>227</v>
      </c>
      <c r="E384" s="60" t="str">
        <f ca="1" t="shared" si="5"/>
        <v>SL</v>
      </c>
      <c r="F384" s="51">
        <v>50</v>
      </c>
      <c r="G384" s="51" t="s">
        <v>28</v>
      </c>
      <c r="H384" s="51">
        <v>6.1074</v>
      </c>
    </row>
    <row r="385" spans="1:8">
      <c r="A385" s="57" t="s">
        <v>816</v>
      </c>
      <c r="B385" s="58"/>
      <c r="C385" s="57" t="s">
        <v>817</v>
      </c>
      <c r="D385" s="59" t="s">
        <v>227</v>
      </c>
      <c r="E385" s="60" t="str">
        <f ca="1" t="shared" si="5"/>
        <v>SL</v>
      </c>
      <c r="F385" s="51">
        <v>50</v>
      </c>
      <c r="G385" s="51" t="s">
        <v>28</v>
      </c>
      <c r="H385" s="51" t="e">
        <v>#N/A</v>
      </c>
    </row>
    <row r="386" spans="1:8">
      <c r="A386" s="57" t="s">
        <v>818</v>
      </c>
      <c r="B386" s="58"/>
      <c r="C386" s="57" t="s">
        <v>819</v>
      </c>
      <c r="D386" s="59" t="s">
        <v>227</v>
      </c>
      <c r="E386" s="60" t="str">
        <f ca="1" t="shared" si="5"/>
        <v>SL</v>
      </c>
      <c r="F386" s="51">
        <v>50</v>
      </c>
      <c r="G386" s="51" t="s">
        <v>28</v>
      </c>
      <c r="H386" s="51">
        <v>16.236</v>
      </c>
    </row>
    <row r="387" spans="1:8">
      <c r="A387" s="57" t="s">
        <v>820</v>
      </c>
      <c r="B387" s="58"/>
      <c r="C387" s="57" t="s">
        <v>821</v>
      </c>
      <c r="D387" s="59" t="s">
        <v>227</v>
      </c>
      <c r="E387" s="60" t="str">
        <f ca="1" t="shared" ref="E387:E450" si="6">LEFT(A387,2)</f>
        <v>SO</v>
      </c>
      <c r="F387" s="51">
        <v>50</v>
      </c>
      <c r="G387" s="51" t="s">
        <v>28</v>
      </c>
      <c r="H387" s="51">
        <v>193.05</v>
      </c>
    </row>
    <row r="388" spans="1:8">
      <c r="A388" s="57" t="s">
        <v>822</v>
      </c>
      <c r="B388" s="58"/>
      <c r="C388" s="57" t="s">
        <v>823</v>
      </c>
      <c r="D388" s="59" t="s">
        <v>227</v>
      </c>
      <c r="E388" s="60" t="str">
        <f ca="1" t="shared" si="6"/>
        <v>SO</v>
      </c>
      <c r="F388" s="51">
        <v>50</v>
      </c>
      <c r="G388" s="51" t="s">
        <v>28</v>
      </c>
      <c r="H388" s="51">
        <v>0</v>
      </c>
    </row>
    <row r="389" spans="1:8">
      <c r="A389" s="57" t="s">
        <v>824</v>
      </c>
      <c r="B389" s="58"/>
      <c r="C389" s="57" t="s">
        <v>825</v>
      </c>
      <c r="D389" s="59" t="s">
        <v>227</v>
      </c>
      <c r="E389" s="60" t="str">
        <f ca="1" t="shared" si="6"/>
        <v>SO</v>
      </c>
      <c r="F389" s="51">
        <v>50</v>
      </c>
      <c r="G389" s="51" t="s">
        <v>28</v>
      </c>
      <c r="H389" s="51">
        <v>0</v>
      </c>
    </row>
    <row r="390" spans="1:8">
      <c r="A390" s="57" t="s">
        <v>826</v>
      </c>
      <c r="B390" s="58"/>
      <c r="C390" s="57" t="s">
        <v>827</v>
      </c>
      <c r="D390" s="59" t="s">
        <v>227</v>
      </c>
      <c r="E390" s="60" t="str">
        <f ca="1" t="shared" si="6"/>
        <v>SO</v>
      </c>
      <c r="F390" s="51">
        <v>50</v>
      </c>
      <c r="G390" s="51" t="s">
        <v>28</v>
      </c>
      <c r="H390" s="51">
        <v>0</v>
      </c>
    </row>
    <row r="391" spans="1:8">
      <c r="A391" s="57" t="s">
        <v>828</v>
      </c>
      <c r="B391" s="58"/>
      <c r="C391" s="57" t="s">
        <v>829</v>
      </c>
      <c r="D391" s="59" t="s">
        <v>227</v>
      </c>
      <c r="E391" s="60" t="str">
        <f ca="1" t="shared" si="6"/>
        <v>SO</v>
      </c>
      <c r="F391" s="51">
        <v>50</v>
      </c>
      <c r="G391" s="51" t="s">
        <v>28</v>
      </c>
      <c r="H391" s="51">
        <v>53.24</v>
      </c>
    </row>
    <row r="392" spans="1:8">
      <c r="A392" s="57" t="s">
        <v>830</v>
      </c>
      <c r="B392" s="58"/>
      <c r="C392" s="57" t="s">
        <v>831</v>
      </c>
      <c r="D392" s="59" t="s">
        <v>227</v>
      </c>
      <c r="E392" s="60" t="str">
        <f ca="1" t="shared" si="6"/>
        <v>SO</v>
      </c>
      <c r="F392" s="51">
        <v>50</v>
      </c>
      <c r="G392" s="51" t="s">
        <v>28</v>
      </c>
      <c r="H392" s="51" t="e">
        <v>#N/A</v>
      </c>
    </row>
    <row r="393" spans="1:8">
      <c r="A393" s="57" t="s">
        <v>832</v>
      </c>
      <c r="B393" s="58"/>
      <c r="C393" s="57" t="s">
        <v>833</v>
      </c>
      <c r="D393" s="59" t="s">
        <v>227</v>
      </c>
      <c r="E393" s="60" t="str">
        <f ca="1" t="shared" si="6"/>
        <v>EK</v>
      </c>
      <c r="F393" s="51">
        <v>50</v>
      </c>
      <c r="G393" s="51" t="s">
        <v>28</v>
      </c>
      <c r="H393" s="51">
        <v>3.5</v>
      </c>
    </row>
    <row r="394" spans="1:8">
      <c r="A394" s="57" t="s">
        <v>834</v>
      </c>
      <c r="B394" s="58"/>
      <c r="C394" s="69" t="s">
        <v>835</v>
      </c>
      <c r="D394" s="59" t="s">
        <v>227</v>
      </c>
      <c r="E394" s="60" t="str">
        <f ca="1" t="shared" si="6"/>
        <v>th</v>
      </c>
      <c r="F394" s="51">
        <v>50</v>
      </c>
      <c r="G394" s="51" t="s">
        <v>28</v>
      </c>
      <c r="H394" s="51">
        <v>2.92</v>
      </c>
    </row>
    <row r="395" spans="1:8">
      <c r="A395" s="57" t="s">
        <v>836</v>
      </c>
      <c r="B395" s="58"/>
      <c r="C395" s="69" t="s">
        <v>837</v>
      </c>
      <c r="D395" s="59" t="s">
        <v>227</v>
      </c>
      <c r="E395" s="60" t="str">
        <f ca="1" t="shared" si="6"/>
        <v>th</v>
      </c>
      <c r="F395" s="51">
        <v>50</v>
      </c>
      <c r="G395" s="51" t="s">
        <v>28</v>
      </c>
      <c r="H395" s="51" t="e">
        <v>#N/A</v>
      </c>
    </row>
    <row r="396" spans="1:8">
      <c r="A396" s="57" t="s">
        <v>838</v>
      </c>
      <c r="B396" s="58"/>
      <c r="C396" s="69" t="s">
        <v>839</v>
      </c>
      <c r="D396" s="59" t="s">
        <v>227</v>
      </c>
      <c r="E396" s="60" t="str">
        <f ca="1" t="shared" si="6"/>
        <v>th</v>
      </c>
      <c r="F396" s="51">
        <v>50</v>
      </c>
      <c r="G396" s="51" t="s">
        <v>28</v>
      </c>
      <c r="H396" s="51">
        <v>3.14</v>
      </c>
    </row>
    <row r="397" spans="1:8">
      <c r="A397" s="57" t="s">
        <v>840</v>
      </c>
      <c r="B397" s="58"/>
      <c r="C397" s="69" t="s">
        <v>841</v>
      </c>
      <c r="D397" s="59" t="s">
        <v>227</v>
      </c>
      <c r="E397" s="60" t="str">
        <f ca="1" t="shared" si="6"/>
        <v>th</v>
      </c>
      <c r="F397" s="51">
        <v>50</v>
      </c>
      <c r="G397" s="51" t="s">
        <v>28</v>
      </c>
      <c r="H397" s="51">
        <v>45.22</v>
      </c>
    </row>
    <row r="398" spans="1:8">
      <c r="A398" s="57" t="s">
        <v>842</v>
      </c>
      <c r="B398" s="58"/>
      <c r="C398" s="57" t="s">
        <v>843</v>
      </c>
      <c r="D398" s="59" t="s">
        <v>57</v>
      </c>
      <c r="E398" s="60" t="str">
        <f ca="1" t="shared" si="6"/>
        <v>CL</v>
      </c>
      <c r="F398" s="51">
        <v>50</v>
      </c>
      <c r="G398" s="51" t="s">
        <v>28</v>
      </c>
      <c r="H398" s="51">
        <v>1</v>
      </c>
    </row>
    <row r="399" spans="1:8">
      <c r="A399" s="57" t="s">
        <v>844</v>
      </c>
      <c r="B399" s="58"/>
      <c r="C399" s="57" t="s">
        <v>845</v>
      </c>
      <c r="D399" s="59" t="s">
        <v>57</v>
      </c>
      <c r="E399" s="60" t="str">
        <f ca="1" t="shared" si="6"/>
        <v>CL</v>
      </c>
      <c r="F399" s="51">
        <v>50</v>
      </c>
      <c r="G399" s="51" t="s">
        <v>28</v>
      </c>
      <c r="H399" s="51">
        <v>1</v>
      </c>
    </row>
    <row r="400" spans="1:8">
      <c r="A400" s="116" t="s">
        <v>846</v>
      </c>
      <c r="B400" s="58"/>
      <c r="C400" s="116" t="s">
        <v>847</v>
      </c>
      <c r="D400" s="59" t="s">
        <v>27</v>
      </c>
      <c r="E400" s="60" t="str">
        <f ca="1" t="shared" si="6"/>
        <v>TN</v>
      </c>
      <c r="F400" s="51">
        <v>50</v>
      </c>
      <c r="G400" s="51" t="s">
        <v>28</v>
      </c>
      <c r="H400" s="51">
        <v>1</v>
      </c>
    </row>
    <row r="401" spans="1:8">
      <c r="A401" s="116" t="s">
        <v>848</v>
      </c>
      <c r="B401" s="58"/>
      <c r="C401" s="116" t="s">
        <v>849</v>
      </c>
      <c r="D401" s="59" t="s">
        <v>27</v>
      </c>
      <c r="E401" s="60" t="str">
        <f ca="1" t="shared" si="6"/>
        <v>TN</v>
      </c>
      <c r="F401" s="51">
        <v>50</v>
      </c>
      <c r="G401" s="51" t="s">
        <v>28</v>
      </c>
      <c r="H401" s="51" t="e">
        <v>#N/A</v>
      </c>
    </row>
    <row r="402" spans="1:8">
      <c r="A402" s="116" t="s">
        <v>850</v>
      </c>
      <c r="B402" s="58"/>
      <c r="C402" s="116" t="s">
        <v>851</v>
      </c>
      <c r="D402" s="59" t="s">
        <v>27</v>
      </c>
      <c r="E402" s="60" t="str">
        <f ca="1" t="shared" si="6"/>
        <v>TN</v>
      </c>
      <c r="F402" s="51">
        <v>50</v>
      </c>
      <c r="G402" s="51" t="s">
        <v>28</v>
      </c>
      <c r="H402" s="51" t="e">
        <v>#N/A</v>
      </c>
    </row>
    <row r="403" spans="1:8">
      <c r="A403" s="116" t="s">
        <v>852</v>
      </c>
      <c r="B403" s="58"/>
      <c r="C403" s="116" t="s">
        <v>853</v>
      </c>
      <c r="D403" s="59" t="s">
        <v>27</v>
      </c>
      <c r="E403" s="60" t="str">
        <f ca="1" t="shared" si="6"/>
        <v>TN</v>
      </c>
      <c r="F403" s="51">
        <v>50</v>
      </c>
      <c r="G403" s="51" t="s">
        <v>28</v>
      </c>
      <c r="H403" s="51">
        <v>1</v>
      </c>
    </row>
    <row r="404" spans="1:8">
      <c r="A404" s="116" t="s">
        <v>854</v>
      </c>
      <c r="B404" s="58"/>
      <c r="C404" s="116" t="s">
        <v>855</v>
      </c>
      <c r="D404" s="59" t="s">
        <v>27</v>
      </c>
      <c r="E404" s="60" t="str">
        <f ca="1" t="shared" si="6"/>
        <v>TN</v>
      </c>
      <c r="F404" s="51">
        <v>50</v>
      </c>
      <c r="G404" s="51" t="s">
        <v>28</v>
      </c>
      <c r="H404" s="51">
        <v>1</v>
      </c>
    </row>
    <row r="405" spans="1:8">
      <c r="A405" s="116" t="s">
        <v>856</v>
      </c>
      <c r="B405" s="58"/>
      <c r="C405" s="116" t="s">
        <v>857</v>
      </c>
      <c r="D405" s="59" t="s">
        <v>27</v>
      </c>
      <c r="E405" s="60" t="str">
        <f ca="1" t="shared" si="6"/>
        <v>TN</v>
      </c>
      <c r="F405" s="51">
        <v>50</v>
      </c>
      <c r="G405" s="51" t="s">
        <v>28</v>
      </c>
      <c r="H405" s="51">
        <v>1</v>
      </c>
    </row>
    <row r="406" spans="1:8">
      <c r="A406" s="57" t="s">
        <v>858</v>
      </c>
      <c r="B406" s="115" t="s">
        <v>25</v>
      </c>
      <c r="C406" s="57" t="s">
        <v>859</v>
      </c>
      <c r="D406" s="59" t="s">
        <v>27</v>
      </c>
      <c r="E406" s="60" t="str">
        <f ca="1" t="shared" si="6"/>
        <v>NX</v>
      </c>
      <c r="F406" s="51">
        <v>50</v>
      </c>
      <c r="G406" s="51" t="s">
        <v>28</v>
      </c>
      <c r="H406" s="51">
        <v>1</v>
      </c>
    </row>
    <row r="407" spans="1:8">
      <c r="A407" s="57" t="s">
        <v>860</v>
      </c>
      <c r="B407" s="58" t="s">
        <v>861</v>
      </c>
      <c r="C407" s="57" t="s">
        <v>862</v>
      </c>
      <c r="D407" s="59" t="s">
        <v>57</v>
      </c>
      <c r="E407" s="60" t="str">
        <f ca="1" t="shared" si="6"/>
        <v>CD</v>
      </c>
      <c r="F407" s="51">
        <v>50</v>
      </c>
      <c r="G407" s="51" t="s">
        <v>28</v>
      </c>
      <c r="H407" s="51" t="e">
        <v>#N/A</v>
      </c>
    </row>
    <row r="408" spans="1:8">
      <c r="A408" s="57" t="s">
        <v>863</v>
      </c>
      <c r="B408" s="58" t="s">
        <v>861</v>
      </c>
      <c r="C408" s="57" t="s">
        <v>864</v>
      </c>
      <c r="D408" s="59" t="s">
        <v>57</v>
      </c>
      <c r="E408" s="60" t="str">
        <f ca="1" t="shared" si="6"/>
        <v>CD</v>
      </c>
      <c r="F408" s="51">
        <v>50</v>
      </c>
      <c r="G408" s="51" t="s">
        <v>28</v>
      </c>
      <c r="H408" s="51" t="e">
        <v>#N/A</v>
      </c>
    </row>
    <row r="409" spans="1:8">
      <c r="A409" s="57" t="s">
        <v>865</v>
      </c>
      <c r="B409" s="58" t="s">
        <v>861</v>
      </c>
      <c r="C409" s="57" t="s">
        <v>866</v>
      </c>
      <c r="D409" s="59" t="s">
        <v>57</v>
      </c>
      <c r="E409" s="60" t="str">
        <f ca="1" t="shared" si="6"/>
        <v>CD</v>
      </c>
      <c r="F409" s="51">
        <v>50</v>
      </c>
      <c r="G409" s="51" t="s">
        <v>28</v>
      </c>
      <c r="H409" s="51" t="e">
        <v>#N/A</v>
      </c>
    </row>
    <row r="410" spans="1:8">
      <c r="A410" s="57" t="s">
        <v>867</v>
      </c>
      <c r="B410" s="58" t="s">
        <v>861</v>
      </c>
      <c r="C410" s="57" t="s">
        <v>868</v>
      </c>
      <c r="D410" s="59" t="s">
        <v>57</v>
      </c>
      <c r="E410" s="60" t="str">
        <f ca="1" t="shared" si="6"/>
        <v>CD</v>
      </c>
      <c r="F410" s="51">
        <v>50</v>
      </c>
      <c r="G410" s="51" t="s">
        <v>28</v>
      </c>
      <c r="H410" s="51" t="e">
        <v>#N/A</v>
      </c>
    </row>
    <row r="411" spans="1:8">
      <c r="A411" s="57" t="s">
        <v>869</v>
      </c>
      <c r="B411" s="58" t="s">
        <v>861</v>
      </c>
      <c r="C411" s="57" t="s">
        <v>870</v>
      </c>
      <c r="D411" s="59" t="s">
        <v>57</v>
      </c>
      <c r="E411" s="60" t="str">
        <f ca="1" t="shared" si="6"/>
        <v>CD</v>
      </c>
      <c r="F411" s="51">
        <v>50</v>
      </c>
      <c r="G411" s="51" t="s">
        <v>28</v>
      </c>
      <c r="H411" s="51" t="e">
        <v>#N/A</v>
      </c>
    </row>
    <row r="412" spans="1:8">
      <c r="A412" s="57" t="s">
        <v>871</v>
      </c>
      <c r="B412" s="58" t="s">
        <v>872</v>
      </c>
      <c r="C412" s="57" t="s">
        <v>873</v>
      </c>
      <c r="D412" s="59" t="s">
        <v>57</v>
      </c>
      <c r="E412" s="60" t="str">
        <f ca="1" t="shared" si="6"/>
        <v>LC</v>
      </c>
      <c r="F412" s="51">
        <v>2000</v>
      </c>
      <c r="G412" s="51" t="s">
        <v>28</v>
      </c>
      <c r="H412" s="51" t="s">
        <v>57</v>
      </c>
    </row>
    <row r="413" spans="1:8">
      <c r="A413" s="57" t="s">
        <v>874</v>
      </c>
      <c r="B413" s="58" t="s">
        <v>861</v>
      </c>
      <c r="C413" s="57" t="s">
        <v>875</v>
      </c>
      <c r="D413" s="59" t="s">
        <v>57</v>
      </c>
      <c r="E413" s="60" t="str">
        <f ca="1" t="shared" si="6"/>
        <v>CD</v>
      </c>
      <c r="F413" s="51">
        <v>50</v>
      </c>
      <c r="G413" s="51" t="s">
        <v>28</v>
      </c>
      <c r="H413" s="51">
        <v>3</v>
      </c>
    </row>
    <row r="414" spans="1:8">
      <c r="A414" s="57" t="s">
        <v>876</v>
      </c>
      <c r="B414" s="58" t="s">
        <v>861</v>
      </c>
      <c r="C414" s="57" t="s">
        <v>877</v>
      </c>
      <c r="D414" s="59" t="s">
        <v>57</v>
      </c>
      <c r="E414" s="60" t="str">
        <f ca="1" t="shared" si="6"/>
        <v>CD</v>
      </c>
      <c r="F414" s="51">
        <v>50</v>
      </c>
      <c r="G414" s="51" t="s">
        <v>28</v>
      </c>
      <c r="H414" s="51" t="s">
        <v>57</v>
      </c>
    </row>
    <row r="415" spans="1:8">
      <c r="A415" s="57" t="s">
        <v>878</v>
      </c>
      <c r="B415" s="58" t="s">
        <v>861</v>
      </c>
      <c r="C415" s="57" t="s">
        <v>879</v>
      </c>
      <c r="D415" s="59" t="s">
        <v>57</v>
      </c>
      <c r="E415" s="60" t="str">
        <f ca="1" t="shared" si="6"/>
        <v>CD</v>
      </c>
      <c r="F415" s="51">
        <v>50</v>
      </c>
      <c r="G415" s="51" t="s">
        <v>28</v>
      </c>
      <c r="H415" s="51">
        <v>0</v>
      </c>
    </row>
    <row r="416" spans="1:8">
      <c r="A416" s="57" t="s">
        <v>880</v>
      </c>
      <c r="B416" s="58" t="s">
        <v>861</v>
      </c>
      <c r="C416" s="57" t="s">
        <v>881</v>
      </c>
      <c r="D416" s="59" t="s">
        <v>57</v>
      </c>
      <c r="E416" s="60" t="str">
        <f ca="1" t="shared" si="6"/>
        <v>CD</v>
      </c>
      <c r="F416" s="51">
        <v>50</v>
      </c>
      <c r="G416" s="51" t="s">
        <v>28</v>
      </c>
      <c r="H416" s="51">
        <v>0</v>
      </c>
    </row>
    <row r="417" spans="1:8">
      <c r="A417" s="57" t="s">
        <v>882</v>
      </c>
      <c r="B417" s="58" t="s">
        <v>861</v>
      </c>
      <c r="C417" s="57" t="s">
        <v>883</v>
      </c>
      <c r="D417" s="59" t="s">
        <v>57</v>
      </c>
      <c r="E417" s="60" t="str">
        <f ca="1" t="shared" si="6"/>
        <v>CD</v>
      </c>
      <c r="F417" s="51">
        <v>50</v>
      </c>
      <c r="G417" s="51" t="s">
        <v>28</v>
      </c>
      <c r="H417" s="51">
        <v>0</v>
      </c>
    </row>
    <row r="418" spans="1:8">
      <c r="A418" s="57" t="s">
        <v>884</v>
      </c>
      <c r="B418" s="58" t="s">
        <v>861</v>
      </c>
      <c r="C418" s="57" t="s">
        <v>885</v>
      </c>
      <c r="D418" s="59" t="s">
        <v>57</v>
      </c>
      <c r="E418" s="60" t="str">
        <f ca="1" t="shared" si="6"/>
        <v>CD</v>
      </c>
      <c r="F418" s="51">
        <v>50</v>
      </c>
      <c r="G418" s="51" t="s">
        <v>28</v>
      </c>
      <c r="H418" s="51" t="s">
        <v>57</v>
      </c>
    </row>
    <row r="419" spans="1:8">
      <c r="A419" s="57" t="s">
        <v>886</v>
      </c>
      <c r="B419" s="58" t="s">
        <v>861</v>
      </c>
      <c r="C419" s="57" t="s">
        <v>887</v>
      </c>
      <c r="D419" s="59" t="s">
        <v>57</v>
      </c>
      <c r="E419" s="60" t="str">
        <f ca="1" t="shared" si="6"/>
        <v>CD</v>
      </c>
      <c r="F419" s="51">
        <v>50</v>
      </c>
      <c r="G419" s="51" t="s">
        <v>28</v>
      </c>
      <c r="H419" s="51" t="e">
        <v>#N/A</v>
      </c>
    </row>
    <row r="420" spans="1:8">
      <c r="A420" s="57" t="s">
        <v>888</v>
      </c>
      <c r="B420" s="58" t="s">
        <v>861</v>
      </c>
      <c r="C420" s="57" t="s">
        <v>889</v>
      </c>
      <c r="D420" s="59" t="s">
        <v>57</v>
      </c>
      <c r="E420" s="60" t="str">
        <f ca="1" t="shared" si="6"/>
        <v>CD</v>
      </c>
      <c r="F420" s="51">
        <v>50</v>
      </c>
      <c r="G420" s="51" t="s">
        <v>28</v>
      </c>
      <c r="H420" s="51">
        <v>1</v>
      </c>
    </row>
    <row r="421" spans="1:8">
      <c r="A421" s="57" t="s">
        <v>890</v>
      </c>
      <c r="B421" s="58" t="s">
        <v>861</v>
      </c>
      <c r="C421" s="57" t="s">
        <v>891</v>
      </c>
      <c r="D421" s="59" t="s">
        <v>57</v>
      </c>
      <c r="E421" s="60" t="str">
        <f ca="1" t="shared" si="6"/>
        <v>CD</v>
      </c>
      <c r="F421" s="51">
        <v>50</v>
      </c>
      <c r="G421" s="51" t="s">
        <v>28</v>
      </c>
      <c r="H421" s="51" t="e">
        <v>#N/A</v>
      </c>
    </row>
    <row r="422" spans="1:8">
      <c r="A422" s="57" t="s">
        <v>892</v>
      </c>
      <c r="B422" s="58" t="s">
        <v>861</v>
      </c>
      <c r="C422" s="57" t="s">
        <v>893</v>
      </c>
      <c r="D422" s="59" t="s">
        <v>57</v>
      </c>
      <c r="E422" s="60" t="str">
        <f ca="1" t="shared" si="6"/>
        <v>CD</v>
      </c>
      <c r="F422" s="51">
        <v>50</v>
      </c>
      <c r="G422" s="51" t="s">
        <v>28</v>
      </c>
      <c r="H422" s="51">
        <v>1</v>
      </c>
    </row>
    <row r="423" spans="1:8">
      <c r="A423" s="57" t="s">
        <v>894</v>
      </c>
      <c r="B423" s="58" t="s">
        <v>861</v>
      </c>
      <c r="C423" s="57" t="s">
        <v>895</v>
      </c>
      <c r="D423" s="59" t="s">
        <v>57</v>
      </c>
      <c r="E423" s="60" t="str">
        <f ca="1" t="shared" si="6"/>
        <v>CD</v>
      </c>
      <c r="F423" s="51">
        <v>50</v>
      </c>
      <c r="G423" s="51" t="s">
        <v>28</v>
      </c>
      <c r="H423" s="51">
        <v>2</v>
      </c>
    </row>
    <row r="424" spans="1:8">
      <c r="A424" s="57" t="s">
        <v>896</v>
      </c>
      <c r="B424" s="58" t="s">
        <v>861</v>
      </c>
      <c r="C424" s="57" t="s">
        <v>897</v>
      </c>
      <c r="D424" s="59" t="s">
        <v>57</v>
      </c>
      <c r="E424" s="60" t="str">
        <f ca="1" t="shared" si="6"/>
        <v>CD</v>
      </c>
      <c r="F424" s="51">
        <v>50</v>
      </c>
      <c r="G424" s="51" t="s">
        <v>28</v>
      </c>
      <c r="H424" s="51">
        <v>2</v>
      </c>
    </row>
    <row r="425" spans="1:8">
      <c r="A425" s="57" t="s">
        <v>898</v>
      </c>
      <c r="B425" s="58" t="s">
        <v>861</v>
      </c>
      <c r="C425" s="57" t="s">
        <v>899</v>
      </c>
      <c r="D425" s="59" t="s">
        <v>57</v>
      </c>
      <c r="E425" s="60" t="str">
        <f ca="1" t="shared" si="6"/>
        <v>CD</v>
      </c>
      <c r="F425" s="51">
        <v>50</v>
      </c>
      <c r="G425" s="51" t="s">
        <v>28</v>
      </c>
      <c r="H425" s="51">
        <v>0</v>
      </c>
    </row>
    <row r="426" s="51" customFormat="1" spans="1:8">
      <c r="A426" s="57" t="s">
        <v>900</v>
      </c>
      <c r="B426" s="58" t="s">
        <v>861</v>
      </c>
      <c r="C426" s="70" t="s">
        <v>901</v>
      </c>
      <c r="D426" s="59" t="s">
        <v>57</v>
      </c>
      <c r="E426" s="60" t="str">
        <f ca="1" t="shared" si="6"/>
        <v>Cd</v>
      </c>
      <c r="F426" s="51">
        <v>50</v>
      </c>
      <c r="G426" s="51" t="s">
        <v>28</v>
      </c>
      <c r="H426" s="51">
        <v>0</v>
      </c>
    </row>
    <row r="427" s="51" customFormat="1" spans="1:8">
      <c r="A427" s="57" t="s">
        <v>902</v>
      </c>
      <c r="B427" s="58" t="s">
        <v>861</v>
      </c>
      <c r="C427" s="70" t="s">
        <v>903</v>
      </c>
      <c r="D427" s="59" t="s">
        <v>57</v>
      </c>
      <c r="E427" s="60" t="str">
        <f ca="1" t="shared" si="6"/>
        <v>Cd</v>
      </c>
      <c r="F427" s="51">
        <v>50</v>
      </c>
      <c r="G427" s="51" t="s">
        <v>28</v>
      </c>
      <c r="H427" s="51">
        <v>0</v>
      </c>
    </row>
    <row r="428" spans="1:8">
      <c r="A428" s="57" t="s">
        <v>904</v>
      </c>
      <c r="B428" s="58" t="s">
        <v>861</v>
      </c>
      <c r="C428" s="70" t="s">
        <v>905</v>
      </c>
      <c r="D428" s="59" t="s">
        <v>57</v>
      </c>
      <c r="E428" s="60" t="str">
        <f ca="1" t="shared" si="6"/>
        <v>Cd</v>
      </c>
      <c r="F428" s="51">
        <v>50</v>
      </c>
      <c r="G428" s="51" t="s">
        <v>28</v>
      </c>
      <c r="H428" s="51" t="e">
        <v>#N/A</v>
      </c>
    </row>
    <row r="429" spans="1:8">
      <c r="A429" s="57" t="s">
        <v>906</v>
      </c>
      <c r="B429" s="58" t="s">
        <v>861</v>
      </c>
      <c r="C429" s="70" t="s">
        <v>907</v>
      </c>
      <c r="D429" s="59" t="s">
        <v>57</v>
      </c>
      <c r="E429" s="60" t="str">
        <f ca="1" t="shared" si="6"/>
        <v>Cd</v>
      </c>
      <c r="F429" s="51">
        <v>50</v>
      </c>
      <c r="G429" s="51" t="s">
        <v>28</v>
      </c>
      <c r="H429" s="51" t="e">
        <v>#N/A</v>
      </c>
    </row>
    <row r="430" spans="1:8">
      <c r="A430" s="57" t="s">
        <v>908</v>
      </c>
      <c r="B430" s="58" t="s">
        <v>861</v>
      </c>
      <c r="C430" s="70" t="s">
        <v>909</v>
      </c>
      <c r="D430" s="59" t="s">
        <v>57</v>
      </c>
      <c r="E430" s="60" t="str">
        <f ca="1" t="shared" si="6"/>
        <v>Cd</v>
      </c>
      <c r="F430" s="51">
        <v>50</v>
      </c>
      <c r="G430" s="51" t="s">
        <v>28</v>
      </c>
      <c r="H430" s="51">
        <v>0</v>
      </c>
    </row>
    <row r="431" spans="1:8">
      <c r="A431" s="57" t="s">
        <v>910</v>
      </c>
      <c r="B431" s="58" t="s">
        <v>861</v>
      </c>
      <c r="C431" s="70" t="s">
        <v>911</v>
      </c>
      <c r="D431" s="59" t="s">
        <v>57</v>
      </c>
      <c r="E431" s="60" t="str">
        <f ca="1" t="shared" si="6"/>
        <v>Cd</v>
      </c>
      <c r="F431" s="51">
        <v>50</v>
      </c>
      <c r="G431" s="51" t="s">
        <v>28</v>
      </c>
      <c r="H431" s="51" t="e">
        <v>#N/A</v>
      </c>
    </row>
    <row r="432" spans="1:8">
      <c r="A432" s="57" t="s">
        <v>912</v>
      </c>
      <c r="B432" s="58" t="s">
        <v>861</v>
      </c>
      <c r="C432" s="71" t="s">
        <v>913</v>
      </c>
      <c r="D432" s="59" t="s">
        <v>57</v>
      </c>
      <c r="E432" s="60" t="str">
        <f ca="1" t="shared" si="6"/>
        <v>CD</v>
      </c>
      <c r="F432" s="51">
        <v>50</v>
      </c>
      <c r="G432" s="51" t="s">
        <v>28</v>
      </c>
      <c r="H432" s="51">
        <v>0</v>
      </c>
    </row>
    <row r="433" spans="1:8">
      <c r="A433" s="57" t="s">
        <v>914</v>
      </c>
      <c r="B433" s="58" t="s">
        <v>861</v>
      </c>
      <c r="C433" s="70" t="s">
        <v>915</v>
      </c>
      <c r="D433" s="59" t="s">
        <v>57</v>
      </c>
      <c r="E433" s="60" t="str">
        <f ca="1" t="shared" si="6"/>
        <v>CD</v>
      </c>
      <c r="F433" s="51">
        <v>50</v>
      </c>
      <c r="G433" s="51" t="s">
        <v>28</v>
      </c>
      <c r="H433" s="51" t="e">
        <v>#N/A</v>
      </c>
    </row>
    <row r="434" spans="1:8">
      <c r="A434" s="57" t="s">
        <v>916</v>
      </c>
      <c r="B434" s="58" t="s">
        <v>861</v>
      </c>
      <c r="C434" s="70" t="s">
        <v>917</v>
      </c>
      <c r="D434" s="59" t="s">
        <v>57</v>
      </c>
      <c r="E434" s="60" t="str">
        <f ca="1" t="shared" si="6"/>
        <v>CD</v>
      </c>
      <c r="F434" s="51">
        <v>50</v>
      </c>
      <c r="G434" s="51" t="s">
        <v>28</v>
      </c>
      <c r="H434" s="51">
        <v>0</v>
      </c>
    </row>
    <row r="435" spans="1:8">
      <c r="A435" s="57" t="s">
        <v>918</v>
      </c>
      <c r="B435" s="58" t="s">
        <v>861</v>
      </c>
      <c r="C435" s="57" t="s">
        <v>919</v>
      </c>
      <c r="D435" s="59" t="s">
        <v>57</v>
      </c>
      <c r="E435" s="60" t="str">
        <f ca="1" t="shared" si="6"/>
        <v>CD</v>
      </c>
      <c r="F435" s="51">
        <v>50</v>
      </c>
      <c r="G435" s="51" t="s">
        <v>28</v>
      </c>
      <c r="H435" s="51" t="e">
        <v>#N/A</v>
      </c>
    </row>
    <row r="436" spans="1:8">
      <c r="A436" s="57" t="s">
        <v>920</v>
      </c>
      <c r="B436" s="58" t="s">
        <v>861</v>
      </c>
      <c r="C436" s="70" t="s">
        <v>921</v>
      </c>
      <c r="D436" s="59" t="s">
        <v>57</v>
      </c>
      <c r="E436" s="60" t="str">
        <f ca="1" t="shared" si="6"/>
        <v>Cd</v>
      </c>
      <c r="F436" s="51">
        <v>50</v>
      </c>
      <c r="G436" s="51" t="s">
        <v>28</v>
      </c>
      <c r="H436" s="51" t="s">
        <v>57</v>
      </c>
    </row>
    <row r="437" spans="1:8">
      <c r="A437" s="57" t="s">
        <v>922</v>
      </c>
      <c r="B437" s="58" t="s">
        <v>861</v>
      </c>
      <c r="C437" s="70" t="s">
        <v>923</v>
      </c>
      <c r="D437" s="59" t="s">
        <v>57</v>
      </c>
      <c r="E437" s="60" t="str">
        <f ca="1" t="shared" si="6"/>
        <v>Cd</v>
      </c>
      <c r="F437" s="51">
        <v>50</v>
      </c>
      <c r="G437" s="51" t="s">
        <v>28</v>
      </c>
      <c r="H437" s="51" t="e">
        <v>#N/A</v>
      </c>
    </row>
    <row r="438" spans="1:8">
      <c r="A438" s="57" t="s">
        <v>924</v>
      </c>
      <c r="B438" s="58" t="s">
        <v>861</v>
      </c>
      <c r="C438" s="70" t="s">
        <v>925</v>
      </c>
      <c r="D438" s="59" t="s">
        <v>57</v>
      </c>
      <c r="E438" s="60" t="str">
        <f ca="1" t="shared" si="6"/>
        <v>Cd</v>
      </c>
      <c r="F438" s="51">
        <v>50</v>
      </c>
      <c r="G438" s="51" t="s">
        <v>28</v>
      </c>
      <c r="H438" s="51" t="s">
        <v>57</v>
      </c>
    </row>
    <row r="439" spans="1:8">
      <c r="A439" s="57" t="s">
        <v>926</v>
      </c>
      <c r="B439" s="58" t="s">
        <v>861</v>
      </c>
      <c r="C439" s="70" t="s">
        <v>927</v>
      </c>
      <c r="D439" s="59" t="s">
        <v>57</v>
      </c>
      <c r="E439" s="60" t="str">
        <f ca="1" t="shared" si="6"/>
        <v>CD</v>
      </c>
      <c r="F439" s="51">
        <v>50</v>
      </c>
      <c r="G439" s="51" t="s">
        <v>28</v>
      </c>
      <c r="H439" s="51" t="s">
        <v>57</v>
      </c>
    </row>
    <row r="440" spans="1:8">
      <c r="A440" s="57" t="s">
        <v>928</v>
      </c>
      <c r="B440" s="58" t="s">
        <v>861</v>
      </c>
      <c r="C440" s="70" t="s">
        <v>929</v>
      </c>
      <c r="D440" s="59" t="s">
        <v>57</v>
      </c>
      <c r="E440" s="60" t="str">
        <f ca="1" t="shared" si="6"/>
        <v>CD</v>
      </c>
      <c r="F440" s="51">
        <v>50</v>
      </c>
      <c r="G440" s="51" t="s">
        <v>28</v>
      </c>
      <c r="H440" s="51">
        <v>0</v>
      </c>
    </row>
    <row r="441" spans="1:8">
      <c r="A441" s="57" t="s">
        <v>930</v>
      </c>
      <c r="B441" s="58"/>
      <c r="C441" s="70" t="s">
        <v>931</v>
      </c>
      <c r="D441" s="59" t="s">
        <v>27</v>
      </c>
      <c r="E441" s="60" t="str">
        <f ca="1" t="shared" si="6"/>
        <v>CO</v>
      </c>
      <c r="F441" s="51">
        <v>50</v>
      </c>
      <c r="G441" s="51" t="s">
        <v>28</v>
      </c>
      <c r="H441" s="51">
        <v>1</v>
      </c>
    </row>
    <row r="442" spans="1:8">
      <c r="A442" s="57" t="s">
        <v>932</v>
      </c>
      <c r="B442" s="58"/>
      <c r="C442" s="70" t="s">
        <v>933</v>
      </c>
      <c r="D442" s="59" t="s">
        <v>27</v>
      </c>
      <c r="E442" s="60" t="str">
        <f ca="1" t="shared" si="6"/>
        <v>CO</v>
      </c>
      <c r="F442" s="51">
        <v>50</v>
      </c>
      <c r="G442" s="51" t="s">
        <v>28</v>
      </c>
      <c r="H442" s="51" t="s">
        <v>27</v>
      </c>
    </row>
    <row r="443" spans="1:8">
      <c r="A443" s="57" t="s">
        <v>934</v>
      </c>
      <c r="B443" s="58"/>
      <c r="C443" s="70" t="s">
        <v>935</v>
      </c>
      <c r="D443" s="59" t="s">
        <v>27</v>
      </c>
      <c r="E443" s="60" t="str">
        <f ca="1" t="shared" si="6"/>
        <v>CO</v>
      </c>
      <c r="F443" s="51">
        <v>50</v>
      </c>
      <c r="G443" s="51" t="s">
        <v>28</v>
      </c>
      <c r="H443" s="51" t="s">
        <v>27</v>
      </c>
    </row>
    <row r="444" spans="1:8">
      <c r="A444" s="57" t="s">
        <v>936</v>
      </c>
      <c r="B444" s="58"/>
      <c r="C444" s="70" t="s">
        <v>937</v>
      </c>
      <c r="D444" s="59" t="s">
        <v>27</v>
      </c>
      <c r="E444" s="60" t="str">
        <f ca="1" t="shared" si="6"/>
        <v>CO</v>
      </c>
      <c r="F444" s="51">
        <v>50</v>
      </c>
      <c r="G444" s="51" t="s">
        <v>28</v>
      </c>
      <c r="H444" s="51" t="s">
        <v>27</v>
      </c>
    </row>
    <row r="445" spans="1:8">
      <c r="A445" s="57" t="s">
        <v>938</v>
      </c>
      <c r="B445" s="58"/>
      <c r="C445" s="70" t="s">
        <v>939</v>
      </c>
      <c r="D445" s="59" t="s">
        <v>27</v>
      </c>
      <c r="E445" s="60" t="str">
        <f ca="1" t="shared" si="6"/>
        <v>CO</v>
      </c>
      <c r="F445" s="51">
        <v>50</v>
      </c>
      <c r="G445" s="51" t="s">
        <v>28</v>
      </c>
      <c r="H445" s="51" t="s">
        <v>27</v>
      </c>
    </row>
    <row r="446" spans="1:8">
      <c r="A446" s="57" t="s">
        <v>940</v>
      </c>
      <c r="B446" s="58"/>
      <c r="C446" s="70" t="s">
        <v>941</v>
      </c>
      <c r="D446" s="59" t="s">
        <v>942</v>
      </c>
      <c r="E446" s="60" t="str">
        <f ca="1" t="shared" si="6"/>
        <v>CO</v>
      </c>
      <c r="F446" s="51">
        <v>50</v>
      </c>
      <c r="G446" s="51" t="s">
        <v>28</v>
      </c>
      <c r="H446" s="51">
        <v>0</v>
      </c>
    </row>
    <row r="447" spans="1:8">
      <c r="A447" s="57" t="s">
        <v>943</v>
      </c>
      <c r="B447" s="58"/>
      <c r="C447" s="70" t="s">
        <v>944</v>
      </c>
      <c r="D447" s="59" t="s">
        <v>27</v>
      </c>
      <c r="E447" s="60" t="str">
        <f ca="1" t="shared" si="6"/>
        <v>CO</v>
      </c>
      <c r="F447" s="51">
        <v>50</v>
      </c>
      <c r="G447" s="51" t="s">
        <v>28</v>
      </c>
      <c r="H447" s="51">
        <v>2</v>
      </c>
    </row>
    <row r="448" spans="1:8">
      <c r="A448" s="57" t="s">
        <v>945</v>
      </c>
      <c r="B448" s="58"/>
      <c r="C448" s="57" t="s">
        <v>946</v>
      </c>
      <c r="D448" s="59" t="s">
        <v>507</v>
      </c>
      <c r="E448" s="60" t="str">
        <f ca="1" t="shared" si="6"/>
        <v>T7</v>
      </c>
      <c r="F448" s="51">
        <v>2</v>
      </c>
      <c r="G448" s="51" t="s">
        <v>28</v>
      </c>
      <c r="H448" s="51">
        <v>1</v>
      </c>
    </row>
    <row r="449" spans="1:8">
      <c r="A449" s="57" t="s">
        <v>947</v>
      </c>
      <c r="B449" s="58"/>
      <c r="C449" s="57" t="s">
        <v>948</v>
      </c>
      <c r="D449" s="59" t="s">
        <v>507</v>
      </c>
      <c r="E449" s="60" t="str">
        <f ca="1" t="shared" si="6"/>
        <v>T8</v>
      </c>
      <c r="F449" s="51">
        <v>2</v>
      </c>
      <c r="G449" s="51" t="s">
        <v>28</v>
      </c>
      <c r="H449" s="51">
        <v>1</v>
      </c>
    </row>
    <row r="450" spans="1:8">
      <c r="A450" s="57" t="s">
        <v>949</v>
      </c>
      <c r="B450" s="58"/>
      <c r="C450" s="57" t="s">
        <v>950</v>
      </c>
      <c r="D450" s="59" t="s">
        <v>507</v>
      </c>
      <c r="E450" s="60" t="str">
        <f ca="1" t="shared" si="6"/>
        <v>T8</v>
      </c>
      <c r="F450" s="51">
        <v>2</v>
      </c>
      <c r="G450" s="51" t="s">
        <v>28</v>
      </c>
      <c r="H450" s="51">
        <v>1</v>
      </c>
    </row>
    <row r="451" spans="1:8">
      <c r="A451" s="57" t="s">
        <v>951</v>
      </c>
      <c r="B451" s="58"/>
      <c r="C451" s="57" t="s">
        <v>952</v>
      </c>
      <c r="D451" s="59" t="s">
        <v>507</v>
      </c>
      <c r="E451" s="60" t="str">
        <f ca="1" t="shared" ref="E451:E514" si="7">LEFT(A451,2)</f>
        <v>T8</v>
      </c>
      <c r="F451" s="51">
        <v>2</v>
      </c>
      <c r="G451" s="51" t="s">
        <v>28</v>
      </c>
      <c r="H451" s="51" t="e">
        <v>#N/A</v>
      </c>
    </row>
    <row r="452" spans="1:8">
      <c r="A452" s="57" t="s">
        <v>953</v>
      </c>
      <c r="B452" s="58"/>
      <c r="C452" s="57" t="s">
        <v>954</v>
      </c>
      <c r="D452" s="59" t="s">
        <v>507</v>
      </c>
      <c r="E452" s="60" t="str">
        <f ca="1" t="shared" si="7"/>
        <v>T1</v>
      </c>
      <c r="F452" s="51">
        <v>2</v>
      </c>
      <c r="G452" s="51" t="s">
        <v>28</v>
      </c>
      <c r="H452" s="51" t="e">
        <v>#N/A</v>
      </c>
    </row>
    <row r="453" spans="1:8">
      <c r="A453" s="57" t="s">
        <v>955</v>
      </c>
      <c r="B453" s="58"/>
      <c r="C453" s="57" t="s">
        <v>956</v>
      </c>
      <c r="D453" s="59" t="s">
        <v>507</v>
      </c>
      <c r="E453" s="60" t="str">
        <f ca="1" t="shared" si="7"/>
        <v>T1</v>
      </c>
      <c r="F453" s="51">
        <v>2</v>
      </c>
      <c r="G453" s="51" t="s">
        <v>28</v>
      </c>
      <c r="H453" s="51">
        <v>1</v>
      </c>
    </row>
    <row r="454" spans="1:8">
      <c r="A454" s="57" t="s">
        <v>957</v>
      </c>
      <c r="B454" s="58"/>
      <c r="C454" s="57" t="s">
        <v>958</v>
      </c>
      <c r="D454" s="59" t="s">
        <v>507</v>
      </c>
      <c r="E454" s="60" t="str">
        <f ca="1" t="shared" si="7"/>
        <v>T1</v>
      </c>
      <c r="F454" s="51">
        <v>2</v>
      </c>
      <c r="G454" s="51" t="s">
        <v>28</v>
      </c>
      <c r="H454" s="51">
        <v>1</v>
      </c>
    </row>
    <row r="455" spans="1:8">
      <c r="A455" s="57" t="s">
        <v>959</v>
      </c>
      <c r="B455" s="58"/>
      <c r="C455" s="57" t="s">
        <v>960</v>
      </c>
      <c r="D455" s="59" t="s">
        <v>507</v>
      </c>
      <c r="E455" s="60" t="str">
        <f ca="1" t="shared" si="7"/>
        <v>T1</v>
      </c>
      <c r="F455" s="51">
        <v>2</v>
      </c>
      <c r="G455" s="51" t="s">
        <v>28</v>
      </c>
      <c r="H455" s="51">
        <v>1</v>
      </c>
    </row>
    <row r="456" spans="1:8">
      <c r="A456" s="57" t="s">
        <v>961</v>
      </c>
      <c r="B456" s="58"/>
      <c r="C456" s="57" t="s">
        <v>962</v>
      </c>
      <c r="D456" s="59" t="s">
        <v>507</v>
      </c>
      <c r="E456" s="60" t="str">
        <f ca="1" t="shared" si="7"/>
        <v>T1</v>
      </c>
      <c r="F456" s="51">
        <v>2</v>
      </c>
      <c r="G456" s="51" t="s">
        <v>28</v>
      </c>
      <c r="H456" s="51">
        <v>1</v>
      </c>
    </row>
    <row r="457" spans="1:8">
      <c r="A457" s="57" t="s">
        <v>963</v>
      </c>
      <c r="B457" s="58"/>
      <c r="C457" s="57" t="s">
        <v>964</v>
      </c>
      <c r="D457" s="59" t="s">
        <v>507</v>
      </c>
      <c r="E457" s="60" t="str">
        <f ca="1" t="shared" si="7"/>
        <v>T2</v>
      </c>
      <c r="F457" s="51">
        <v>2</v>
      </c>
      <c r="G457" s="51" t="s">
        <v>28</v>
      </c>
      <c r="H457" s="51">
        <v>1</v>
      </c>
    </row>
    <row r="458" spans="1:8">
      <c r="A458" s="57" t="s">
        <v>965</v>
      </c>
      <c r="B458" s="58"/>
      <c r="C458" s="57" t="s">
        <v>966</v>
      </c>
      <c r="D458" s="59" t="s">
        <v>227</v>
      </c>
      <c r="E458" s="60" t="str">
        <f ca="1" t="shared" si="7"/>
        <v>SO</v>
      </c>
      <c r="F458" s="51">
        <v>50</v>
      </c>
      <c r="G458" s="51" t="s">
        <v>28</v>
      </c>
      <c r="H458" s="51">
        <v>1</v>
      </c>
    </row>
    <row r="459" spans="1:8">
      <c r="A459" s="57" t="s">
        <v>967</v>
      </c>
      <c r="B459" s="58"/>
      <c r="C459" s="57" t="s">
        <v>968</v>
      </c>
      <c r="D459" s="59" t="s">
        <v>227</v>
      </c>
      <c r="E459" s="60" t="str">
        <f ca="1" t="shared" si="7"/>
        <v>SO</v>
      </c>
      <c r="F459" s="51">
        <v>50</v>
      </c>
      <c r="G459" s="51" t="s">
        <v>28</v>
      </c>
      <c r="H459" s="51">
        <v>1.5</v>
      </c>
    </row>
    <row r="460" spans="1:8">
      <c r="A460" s="57" t="s">
        <v>969</v>
      </c>
      <c r="B460" s="58"/>
      <c r="C460" s="57" t="s">
        <v>970</v>
      </c>
      <c r="D460" s="59" t="s">
        <v>600</v>
      </c>
      <c r="E460" s="60" t="str">
        <f ca="1" t="shared" si="7"/>
        <v>NU</v>
      </c>
      <c r="F460" s="51">
        <v>50</v>
      </c>
      <c r="G460" s="51" t="s">
        <v>28</v>
      </c>
      <c r="H460" s="51">
        <v>0.5</v>
      </c>
    </row>
    <row r="461" spans="1:8">
      <c r="A461" s="57" t="s">
        <v>971</v>
      </c>
      <c r="B461" s="58"/>
      <c r="C461" s="57" t="s">
        <v>972</v>
      </c>
      <c r="D461" s="59" t="s">
        <v>600</v>
      </c>
      <c r="E461" s="60" t="str">
        <f ca="1" t="shared" si="7"/>
        <v>GO</v>
      </c>
      <c r="F461" s="51">
        <v>50</v>
      </c>
      <c r="G461" s="51" t="s">
        <v>28</v>
      </c>
      <c r="H461" s="51">
        <v>0</v>
      </c>
    </row>
    <row r="462" spans="1:8">
      <c r="A462" s="57" t="s">
        <v>973</v>
      </c>
      <c r="B462" s="58"/>
      <c r="C462" s="57" t="s">
        <v>974</v>
      </c>
      <c r="D462" s="59" t="s">
        <v>227</v>
      </c>
      <c r="E462" s="60" t="str">
        <f ca="1" t="shared" si="7"/>
        <v>DI</v>
      </c>
      <c r="F462" s="51">
        <v>997</v>
      </c>
      <c r="G462" s="51" t="s">
        <v>28</v>
      </c>
      <c r="H462" s="51" t="e">
        <v>#N/A</v>
      </c>
    </row>
    <row r="463" spans="1:8">
      <c r="A463" s="57" t="s">
        <v>975</v>
      </c>
      <c r="B463" s="58"/>
      <c r="C463" s="57" t="s">
        <v>976</v>
      </c>
      <c r="D463" s="59" t="s">
        <v>600</v>
      </c>
      <c r="E463" s="60" t="str">
        <f ca="1" t="shared" si="7"/>
        <v>D1</v>
      </c>
      <c r="F463" s="51">
        <v>999</v>
      </c>
      <c r="G463" s="51" t="s">
        <v>28</v>
      </c>
      <c r="H463" s="51">
        <v>0.344</v>
      </c>
    </row>
    <row r="464" spans="1:8">
      <c r="A464" s="57" t="s">
        <v>977</v>
      </c>
      <c r="B464" s="58"/>
      <c r="C464" s="57" t="s">
        <v>978</v>
      </c>
      <c r="D464" s="59" t="s">
        <v>600</v>
      </c>
      <c r="E464" s="60" t="str">
        <f ca="1" t="shared" si="7"/>
        <v>D0</v>
      </c>
      <c r="F464" s="51">
        <v>999</v>
      </c>
      <c r="G464" s="51" t="s">
        <v>28</v>
      </c>
      <c r="H464" s="51" t="e">
        <v>#N/A</v>
      </c>
    </row>
    <row r="465" spans="1:8">
      <c r="A465" s="57" t="s">
        <v>979</v>
      </c>
      <c r="B465" s="58"/>
      <c r="C465" s="57" t="s">
        <v>980</v>
      </c>
      <c r="D465" s="59" t="s">
        <v>600</v>
      </c>
      <c r="E465" s="60" t="str">
        <f ca="1" t="shared" si="7"/>
        <v>D2</v>
      </c>
      <c r="F465" s="51">
        <v>999</v>
      </c>
      <c r="G465" s="51" t="s">
        <v>28</v>
      </c>
      <c r="H465" s="51">
        <v>0.155</v>
      </c>
    </row>
    <row r="466" spans="1:8">
      <c r="A466" s="57" t="s">
        <v>981</v>
      </c>
      <c r="B466" s="58"/>
      <c r="C466" s="57" t="s">
        <v>982</v>
      </c>
      <c r="D466" s="59" t="s">
        <v>600</v>
      </c>
      <c r="E466" s="60" t="str">
        <f ca="1" t="shared" si="7"/>
        <v>D4</v>
      </c>
      <c r="F466" s="51">
        <v>999</v>
      </c>
      <c r="G466" s="51" t="s">
        <v>28</v>
      </c>
      <c r="H466" s="51">
        <v>0</v>
      </c>
    </row>
    <row r="467" spans="1:8">
      <c r="A467" s="72" t="s">
        <v>983</v>
      </c>
      <c r="B467" s="58"/>
      <c r="C467" s="57" t="s">
        <v>984</v>
      </c>
      <c r="D467" s="59" t="s">
        <v>600</v>
      </c>
      <c r="E467" s="60" t="str">
        <f ca="1" t="shared" si="7"/>
        <v>ca</v>
      </c>
      <c r="F467" s="51">
        <v>997</v>
      </c>
      <c r="G467" s="51" t="s">
        <v>28</v>
      </c>
      <c r="H467" s="51">
        <v>0.186</v>
      </c>
    </row>
    <row r="468" spans="1:8">
      <c r="A468" s="57" t="s">
        <v>985</v>
      </c>
      <c r="B468" s="58"/>
      <c r="C468" s="57" t="s">
        <v>986</v>
      </c>
      <c r="D468" s="59" t="s">
        <v>987</v>
      </c>
      <c r="E468" s="60" t="str">
        <f ca="1" t="shared" si="7"/>
        <v>ga</v>
      </c>
      <c r="F468" s="51">
        <v>50</v>
      </c>
      <c r="G468" s="51" t="s">
        <v>28</v>
      </c>
      <c r="H468" s="51" t="e">
        <v>#N/A</v>
      </c>
    </row>
    <row r="469" spans="1:8">
      <c r="A469" s="57" t="s">
        <v>988</v>
      </c>
      <c r="B469" s="58"/>
      <c r="C469" s="57" t="s">
        <v>989</v>
      </c>
      <c r="D469" s="59" t="s">
        <v>987</v>
      </c>
      <c r="E469" s="60" t="str">
        <f ca="1" t="shared" si="7"/>
        <v>ga</v>
      </c>
      <c r="F469" s="51">
        <v>50</v>
      </c>
      <c r="G469" s="51" t="s">
        <v>28</v>
      </c>
      <c r="H469" s="51" t="s">
        <v>987</v>
      </c>
    </row>
    <row r="470" spans="1:8">
      <c r="A470" s="57" t="s">
        <v>990</v>
      </c>
      <c r="B470" s="58"/>
      <c r="C470" s="57" t="s">
        <v>991</v>
      </c>
      <c r="D470" s="59" t="s">
        <v>987</v>
      </c>
      <c r="E470" s="60" t="str">
        <f ca="1" t="shared" si="7"/>
        <v>ga</v>
      </c>
      <c r="F470" s="51">
        <v>50</v>
      </c>
      <c r="G470" s="51" t="s">
        <v>28</v>
      </c>
      <c r="H470" s="51" t="e">
        <v>#N/A</v>
      </c>
    </row>
    <row r="471" spans="1:8">
      <c r="A471" s="57" t="s">
        <v>992</v>
      </c>
      <c r="B471" s="58"/>
      <c r="C471" s="57" t="s">
        <v>993</v>
      </c>
      <c r="D471" s="59" t="s">
        <v>227</v>
      </c>
      <c r="E471" s="60" t="str">
        <f ca="1" t="shared" si="7"/>
        <v>XM</v>
      </c>
      <c r="F471" s="51">
        <v>996</v>
      </c>
      <c r="G471" s="51" t="s">
        <v>28</v>
      </c>
      <c r="H471" s="51">
        <v>116</v>
      </c>
    </row>
    <row r="472" spans="1:8">
      <c r="A472" s="57" t="s">
        <v>994</v>
      </c>
      <c r="B472" s="58"/>
      <c r="C472" s="69" t="s">
        <v>995</v>
      </c>
      <c r="D472" s="59" t="s">
        <v>227</v>
      </c>
      <c r="E472" s="60" t="str">
        <f ca="1" t="shared" si="7"/>
        <v>qh</v>
      </c>
      <c r="F472" s="51">
        <v>50</v>
      </c>
      <c r="G472" s="51" t="s">
        <v>28</v>
      </c>
      <c r="H472" s="51">
        <v>2.5</v>
      </c>
    </row>
    <row r="473" spans="1:8">
      <c r="A473" s="57" t="s">
        <v>996</v>
      </c>
      <c r="B473" s="58"/>
      <c r="C473" s="69" t="s">
        <v>997</v>
      </c>
      <c r="D473" s="59" t="s">
        <v>27</v>
      </c>
      <c r="E473" s="60" t="str">
        <f ca="1" t="shared" si="7"/>
        <v>co</v>
      </c>
      <c r="F473" s="51">
        <v>50</v>
      </c>
      <c r="G473" s="51" t="s">
        <v>28</v>
      </c>
      <c r="H473" s="51">
        <v>6</v>
      </c>
    </row>
    <row r="474" spans="1:8">
      <c r="A474" s="57" t="s">
        <v>998</v>
      </c>
      <c r="B474" s="58"/>
      <c r="C474" s="70" t="s">
        <v>999</v>
      </c>
      <c r="D474" s="59" t="s">
        <v>606</v>
      </c>
      <c r="E474" s="60" t="str">
        <f ca="1" t="shared" si="7"/>
        <v>Ni</v>
      </c>
      <c r="F474" s="51">
        <v>50</v>
      </c>
      <c r="G474" s="51" t="s">
        <v>28</v>
      </c>
      <c r="H474" s="51" t="s">
        <v>606</v>
      </c>
    </row>
    <row r="475" spans="1:8">
      <c r="A475" s="57" t="s">
        <v>1000</v>
      </c>
      <c r="B475" s="58"/>
      <c r="C475" s="69" t="s">
        <v>1001</v>
      </c>
      <c r="D475" s="59" t="s">
        <v>942</v>
      </c>
      <c r="E475" s="60" t="str">
        <f ca="1" t="shared" si="7"/>
        <v>NL</v>
      </c>
      <c r="F475" s="51">
        <v>50</v>
      </c>
      <c r="G475" s="51" t="s">
        <v>28</v>
      </c>
      <c r="H475" s="51" t="e">
        <v>#N/A</v>
      </c>
    </row>
    <row r="476" spans="1:8">
      <c r="A476" s="57" t="s">
        <v>1002</v>
      </c>
      <c r="B476" s="58"/>
      <c r="C476" s="57" t="s">
        <v>1003</v>
      </c>
      <c r="D476" s="59" t="s">
        <v>227</v>
      </c>
      <c r="E476" s="60" t="str">
        <f ca="1" t="shared" si="7"/>
        <v>th</v>
      </c>
      <c r="F476" s="51">
        <v>50</v>
      </c>
      <c r="G476" s="51" t="s">
        <v>28</v>
      </c>
      <c r="H476" s="51">
        <v>0.1</v>
      </c>
    </row>
    <row r="477" spans="1:8">
      <c r="A477" s="57" t="s">
        <v>1004</v>
      </c>
      <c r="B477" s="58"/>
      <c r="C477" s="57" t="s">
        <v>1005</v>
      </c>
      <c r="D477" s="59" t="s">
        <v>27</v>
      </c>
      <c r="E477" s="60" t="str">
        <f ca="1" t="shared" si="7"/>
        <v>da</v>
      </c>
      <c r="F477" s="51">
        <v>50</v>
      </c>
      <c r="G477" s="51" t="s">
        <v>28</v>
      </c>
      <c r="H477" s="51" t="s">
        <v>27</v>
      </c>
    </row>
    <row r="478" spans="1:8">
      <c r="A478" s="57" t="s">
        <v>1006</v>
      </c>
      <c r="B478" s="58"/>
      <c r="C478" s="57" t="s">
        <v>1007</v>
      </c>
      <c r="D478" s="59" t="s">
        <v>27</v>
      </c>
      <c r="E478" s="60" t="str">
        <f ca="1" t="shared" si="7"/>
        <v>da</v>
      </c>
      <c r="F478" s="51">
        <v>50</v>
      </c>
      <c r="G478" s="51" t="s">
        <v>28</v>
      </c>
      <c r="H478" s="51" t="e">
        <v>#N/A</v>
      </c>
    </row>
    <row r="479" spans="1:8">
      <c r="A479" s="57" t="s">
        <v>1008</v>
      </c>
      <c r="B479" s="58"/>
      <c r="C479" s="57" t="s">
        <v>1009</v>
      </c>
      <c r="D479" s="59" t="s">
        <v>27</v>
      </c>
      <c r="E479" s="60" t="str">
        <f ca="1" t="shared" si="7"/>
        <v>da</v>
      </c>
      <c r="F479" s="51">
        <v>50</v>
      </c>
      <c r="G479" s="51" t="s">
        <v>28</v>
      </c>
      <c r="H479" s="51" t="e">
        <v>#N/A</v>
      </c>
    </row>
    <row r="480" spans="1:8">
      <c r="A480" s="57" t="s">
        <v>1010</v>
      </c>
      <c r="B480" s="58"/>
      <c r="C480" s="57" t="s">
        <v>1011</v>
      </c>
      <c r="D480" s="59" t="s">
        <v>27</v>
      </c>
      <c r="E480" s="60" t="str">
        <f ca="1" t="shared" si="7"/>
        <v>da</v>
      </c>
      <c r="F480" s="51">
        <v>50</v>
      </c>
      <c r="G480" s="51" t="s">
        <v>28</v>
      </c>
      <c r="H480" s="51" t="e">
        <v>#N/A</v>
      </c>
    </row>
    <row r="481" spans="1:8">
      <c r="A481" s="57" t="s">
        <v>1012</v>
      </c>
      <c r="B481" s="58"/>
      <c r="C481" s="57" t="s">
        <v>1013</v>
      </c>
      <c r="D481" s="59" t="s">
        <v>27</v>
      </c>
      <c r="E481" s="60" t="str">
        <f ca="1" t="shared" si="7"/>
        <v>da</v>
      </c>
      <c r="F481" s="51">
        <v>50</v>
      </c>
      <c r="G481" s="51" t="s">
        <v>28</v>
      </c>
      <c r="H481" s="51" t="e">
        <v>#N/A</v>
      </c>
    </row>
    <row r="482" spans="1:8">
      <c r="A482" s="57" t="s">
        <v>1014</v>
      </c>
      <c r="B482" s="58"/>
      <c r="C482" s="57" t="s">
        <v>1015</v>
      </c>
      <c r="D482" s="59" t="s">
        <v>27</v>
      </c>
      <c r="E482" s="60" t="str">
        <f ca="1" t="shared" si="7"/>
        <v>da</v>
      </c>
      <c r="F482" s="51">
        <v>50</v>
      </c>
      <c r="G482" s="51" t="s">
        <v>28</v>
      </c>
      <c r="H482" s="51" t="e">
        <v>#N/A</v>
      </c>
    </row>
    <row r="483" spans="1:8">
      <c r="A483" s="57" t="s">
        <v>1016</v>
      </c>
      <c r="B483" s="58"/>
      <c r="C483" s="57" t="s">
        <v>1017</v>
      </c>
      <c r="D483" s="59" t="s">
        <v>27</v>
      </c>
      <c r="E483" s="60" t="str">
        <f ca="1" t="shared" si="7"/>
        <v>da</v>
      </c>
      <c r="F483" s="51">
        <v>50</v>
      </c>
      <c r="G483" s="51" t="s">
        <v>28</v>
      </c>
      <c r="H483" s="51" t="e">
        <v>#N/A</v>
      </c>
    </row>
    <row r="484" spans="1:8">
      <c r="A484" s="57" t="s">
        <v>1018</v>
      </c>
      <c r="B484" s="58"/>
      <c r="C484" s="57" t="s">
        <v>1019</v>
      </c>
      <c r="D484" s="59" t="s">
        <v>27</v>
      </c>
      <c r="E484" s="60" t="str">
        <f ca="1" t="shared" si="7"/>
        <v>da</v>
      </c>
      <c r="F484" s="51">
        <v>50</v>
      </c>
      <c r="G484" s="51" t="s">
        <v>28</v>
      </c>
      <c r="H484" s="51" t="s">
        <v>27</v>
      </c>
    </row>
    <row r="485" spans="1:8">
      <c r="A485" s="57" t="s">
        <v>1020</v>
      </c>
      <c r="B485" s="58"/>
      <c r="C485" s="57" t="s">
        <v>1021</v>
      </c>
      <c r="D485" s="59" t="s">
        <v>27</v>
      </c>
      <c r="E485" s="60" t="str">
        <f ca="1" t="shared" si="7"/>
        <v>da</v>
      </c>
      <c r="F485" s="51">
        <v>50</v>
      </c>
      <c r="G485" s="51" t="s">
        <v>28</v>
      </c>
      <c r="H485" s="51" t="e">
        <v>#N/A</v>
      </c>
    </row>
    <row r="486" spans="1:8">
      <c r="A486" s="57" t="s">
        <v>1022</v>
      </c>
      <c r="B486" s="58"/>
      <c r="C486" s="57" t="s">
        <v>1023</v>
      </c>
      <c r="D486" s="59" t="s">
        <v>27</v>
      </c>
      <c r="E486" s="60" t="str">
        <f ca="1" t="shared" si="7"/>
        <v>da</v>
      </c>
      <c r="F486" s="51">
        <v>50</v>
      </c>
      <c r="G486" s="51" t="s">
        <v>28</v>
      </c>
      <c r="H486" s="51" t="e">
        <v>#N/A</v>
      </c>
    </row>
    <row r="487" spans="1:8">
      <c r="A487" s="57" t="s">
        <v>1024</v>
      </c>
      <c r="B487" s="58"/>
      <c r="C487" s="57" t="s">
        <v>1025</v>
      </c>
      <c r="D487" s="59" t="s">
        <v>27</v>
      </c>
      <c r="E487" s="60" t="str">
        <f ca="1" t="shared" si="7"/>
        <v>da</v>
      </c>
      <c r="F487" s="51">
        <v>50</v>
      </c>
      <c r="G487" s="51" t="s">
        <v>28</v>
      </c>
      <c r="H487" s="51" t="e">
        <v>#N/A</v>
      </c>
    </row>
    <row r="488" spans="1:8">
      <c r="A488" s="57" t="s">
        <v>1026</v>
      </c>
      <c r="B488" s="58"/>
      <c r="C488" s="57" t="s">
        <v>1027</v>
      </c>
      <c r="D488" s="59" t="s">
        <v>27</v>
      </c>
      <c r="E488" s="60" t="str">
        <f ca="1" t="shared" si="7"/>
        <v>da</v>
      </c>
      <c r="F488" s="51">
        <v>50</v>
      </c>
      <c r="G488" s="51" t="s">
        <v>28</v>
      </c>
      <c r="H488" s="51" t="e">
        <v>#N/A</v>
      </c>
    </row>
    <row r="489" spans="1:8">
      <c r="A489" s="57" t="s">
        <v>1028</v>
      </c>
      <c r="B489" s="58"/>
      <c r="C489" s="57" t="s">
        <v>1029</v>
      </c>
      <c r="D489" s="59" t="s">
        <v>27</v>
      </c>
      <c r="E489" s="60" t="str">
        <f ca="1" t="shared" si="7"/>
        <v>da</v>
      </c>
      <c r="F489" s="51">
        <v>50</v>
      </c>
      <c r="G489" s="51" t="s">
        <v>28</v>
      </c>
      <c r="H489" s="51" t="e">
        <v>#N/A</v>
      </c>
    </row>
    <row r="490" spans="1:8">
      <c r="A490" s="57" t="s">
        <v>1030</v>
      </c>
      <c r="B490" s="58"/>
      <c r="C490" s="57" t="s">
        <v>1031</v>
      </c>
      <c r="D490" s="59" t="s">
        <v>27</v>
      </c>
      <c r="E490" s="60" t="str">
        <f ca="1" t="shared" si="7"/>
        <v>da</v>
      </c>
      <c r="F490" s="51">
        <v>50</v>
      </c>
      <c r="G490" s="51" t="s">
        <v>28</v>
      </c>
      <c r="H490" s="51" t="e">
        <v>#N/A</v>
      </c>
    </row>
    <row r="491" spans="1:8">
      <c r="A491" s="57" t="s">
        <v>1032</v>
      </c>
      <c r="B491" s="58"/>
      <c r="C491" s="57" t="s">
        <v>1033</v>
      </c>
      <c r="D491" s="59" t="s">
        <v>27</v>
      </c>
      <c r="E491" s="60" t="str">
        <f ca="1" t="shared" si="7"/>
        <v>DC</v>
      </c>
      <c r="F491" s="51">
        <v>50</v>
      </c>
      <c r="G491" s="51" t="s">
        <v>28</v>
      </c>
      <c r="H491" s="51" t="e">
        <v>#N/A</v>
      </c>
    </row>
    <row r="492" spans="1:8">
      <c r="A492" s="57" t="s">
        <v>1034</v>
      </c>
      <c r="B492" s="58"/>
      <c r="C492" s="57" t="s">
        <v>1035</v>
      </c>
      <c r="D492" s="59" t="s">
        <v>27</v>
      </c>
      <c r="E492" s="60" t="str">
        <f ca="1" t="shared" si="7"/>
        <v>DC</v>
      </c>
      <c r="F492" s="51">
        <v>50</v>
      </c>
      <c r="G492" s="51" t="s">
        <v>28</v>
      </c>
      <c r="H492" s="51" t="e">
        <v>#N/A</v>
      </c>
    </row>
    <row r="493" spans="1:8">
      <c r="A493" s="57" t="s">
        <v>1036</v>
      </c>
      <c r="B493" s="58"/>
      <c r="C493" s="57" t="s">
        <v>1037</v>
      </c>
      <c r="D493" s="59" t="s">
        <v>27</v>
      </c>
      <c r="E493" s="60" t="str">
        <f ca="1" t="shared" si="7"/>
        <v>DC</v>
      </c>
      <c r="F493" s="51">
        <v>50</v>
      </c>
      <c r="G493" s="51" t="s">
        <v>28</v>
      </c>
      <c r="H493" s="51" t="e">
        <v>#N/A</v>
      </c>
    </row>
    <row r="494" spans="1:8">
      <c r="A494" s="57" t="s">
        <v>1038</v>
      </c>
      <c r="B494" s="58"/>
      <c r="C494" s="57" t="s">
        <v>1039</v>
      </c>
      <c r="D494" s="59" t="s">
        <v>27</v>
      </c>
      <c r="E494" s="60" t="str">
        <f ca="1" t="shared" si="7"/>
        <v>DC</v>
      </c>
      <c r="F494" s="51">
        <v>50</v>
      </c>
      <c r="G494" s="51" t="s">
        <v>28</v>
      </c>
      <c r="H494" s="51" t="e">
        <v>#N/A</v>
      </c>
    </row>
    <row r="495" spans="1:8">
      <c r="A495" s="57" t="s">
        <v>1040</v>
      </c>
      <c r="B495" s="58"/>
      <c r="C495" s="57" t="s">
        <v>1041</v>
      </c>
      <c r="D495" s="59" t="s">
        <v>27</v>
      </c>
      <c r="E495" s="60" t="str">
        <f ca="1" t="shared" si="7"/>
        <v>DC</v>
      </c>
      <c r="F495" s="51">
        <v>50</v>
      </c>
      <c r="G495" s="51" t="s">
        <v>28</v>
      </c>
      <c r="H495" s="51" t="e">
        <v>#N/A</v>
      </c>
    </row>
    <row r="496" spans="1:8">
      <c r="A496" s="57" t="s">
        <v>1042</v>
      </c>
      <c r="B496" s="58"/>
      <c r="C496" s="57" t="s">
        <v>1043</v>
      </c>
      <c r="D496" s="59" t="s">
        <v>27</v>
      </c>
      <c r="E496" s="60" t="str">
        <f ca="1" t="shared" si="7"/>
        <v>DC</v>
      </c>
      <c r="F496" s="51">
        <v>50</v>
      </c>
      <c r="G496" s="51" t="s">
        <v>28</v>
      </c>
      <c r="H496" s="51">
        <v>0</v>
      </c>
    </row>
    <row r="497" spans="1:8">
      <c r="A497" s="57" t="s">
        <v>1044</v>
      </c>
      <c r="B497" s="58"/>
      <c r="C497" s="57" t="s">
        <v>1045</v>
      </c>
      <c r="D497" s="59" t="s">
        <v>241</v>
      </c>
      <c r="E497" s="60" t="str">
        <f ca="1" t="shared" si="7"/>
        <v>st</v>
      </c>
      <c r="F497" s="51">
        <v>50</v>
      </c>
      <c r="G497" s="51" t="s">
        <v>28</v>
      </c>
      <c r="H497" s="51">
        <v>0</v>
      </c>
    </row>
    <row r="498" spans="1:8">
      <c r="A498" s="57" t="s">
        <v>1046</v>
      </c>
      <c r="B498" s="58"/>
      <c r="C498" s="57" t="s">
        <v>1047</v>
      </c>
      <c r="D498" s="59" t="s">
        <v>241</v>
      </c>
      <c r="E498" s="60" t="str">
        <f ca="1" t="shared" si="7"/>
        <v>st</v>
      </c>
      <c r="F498" s="51">
        <v>50</v>
      </c>
      <c r="G498" s="51" t="s">
        <v>28</v>
      </c>
      <c r="H498" s="51">
        <v>0</v>
      </c>
    </row>
    <row r="499" spans="1:8">
      <c r="A499" s="57" t="s">
        <v>1048</v>
      </c>
      <c r="B499" s="115" t="s">
        <v>1049</v>
      </c>
      <c r="C499" s="57" t="s">
        <v>1050</v>
      </c>
      <c r="D499" s="59" t="s">
        <v>241</v>
      </c>
      <c r="E499" s="60" t="str">
        <f ca="1" t="shared" si="7"/>
        <v>st</v>
      </c>
      <c r="F499" s="51">
        <v>50</v>
      </c>
      <c r="G499" s="51" t="s">
        <v>28</v>
      </c>
      <c r="H499" s="51" t="e">
        <v>#N/A</v>
      </c>
    </row>
    <row r="500" spans="1:8">
      <c r="A500" s="57" t="s">
        <v>1051</v>
      </c>
      <c r="B500" s="115" t="s">
        <v>1049</v>
      </c>
      <c r="C500" s="57" t="s">
        <v>1052</v>
      </c>
      <c r="D500" s="59" t="s">
        <v>241</v>
      </c>
      <c r="E500" s="60" t="str">
        <f ca="1" t="shared" si="7"/>
        <v>st</v>
      </c>
      <c r="F500" s="51">
        <v>50</v>
      </c>
      <c r="G500" s="51" t="s">
        <v>28</v>
      </c>
      <c r="H500" s="51" t="e">
        <v>#N/A</v>
      </c>
    </row>
    <row r="501" spans="1:8">
      <c r="A501" s="57" t="s">
        <v>1053</v>
      </c>
      <c r="B501" s="115" t="s">
        <v>1049</v>
      </c>
      <c r="C501" s="57" t="s">
        <v>1054</v>
      </c>
      <c r="D501" s="59" t="s">
        <v>241</v>
      </c>
      <c r="E501" s="60" t="str">
        <f ca="1" t="shared" si="7"/>
        <v>st</v>
      </c>
      <c r="F501" s="51">
        <v>50</v>
      </c>
      <c r="G501" s="51" t="s">
        <v>28</v>
      </c>
      <c r="H501" s="51" t="s">
        <v>241</v>
      </c>
    </row>
    <row r="502" spans="1:8">
      <c r="A502" s="57" t="s">
        <v>1055</v>
      </c>
      <c r="B502" s="115" t="s">
        <v>1049</v>
      </c>
      <c r="C502" s="57" t="s">
        <v>1056</v>
      </c>
      <c r="D502" s="59" t="s">
        <v>241</v>
      </c>
      <c r="E502" s="60" t="str">
        <f ca="1" t="shared" si="7"/>
        <v>st</v>
      </c>
      <c r="F502" s="51">
        <v>50</v>
      </c>
      <c r="G502" s="51" t="s">
        <v>28</v>
      </c>
      <c r="H502" s="51" t="e">
        <v>#N/A</v>
      </c>
    </row>
    <row r="503" spans="1:8">
      <c r="A503" s="57" t="s">
        <v>1057</v>
      </c>
      <c r="B503" s="115" t="s">
        <v>1049</v>
      </c>
      <c r="C503" s="57" t="s">
        <v>1058</v>
      </c>
      <c r="D503" s="59" t="s">
        <v>241</v>
      </c>
      <c r="E503" s="60" t="str">
        <f ca="1" t="shared" si="7"/>
        <v>st</v>
      </c>
      <c r="F503" s="51">
        <v>50</v>
      </c>
      <c r="G503" s="51" t="s">
        <v>28</v>
      </c>
      <c r="H503" s="51" t="e">
        <v>#N/A</v>
      </c>
    </row>
    <row r="504" spans="1:8">
      <c r="A504" s="57" t="s">
        <v>1059</v>
      </c>
      <c r="B504" s="58"/>
      <c r="C504" s="57" t="s">
        <v>1060</v>
      </c>
      <c r="D504" s="59" t="s">
        <v>27</v>
      </c>
      <c r="E504" s="60" t="str">
        <f ca="1" t="shared" si="7"/>
        <v>co</v>
      </c>
      <c r="F504" s="51">
        <v>50</v>
      </c>
      <c r="G504" s="51" t="s">
        <v>28</v>
      </c>
      <c r="H504" s="51" t="e">
        <v>#N/A</v>
      </c>
    </row>
    <row r="505" spans="1:8">
      <c r="A505" s="57" t="s">
        <v>1061</v>
      </c>
      <c r="B505" s="58"/>
      <c r="C505" s="57" t="s">
        <v>1062</v>
      </c>
      <c r="D505" s="59" t="s">
        <v>27</v>
      </c>
      <c r="E505" s="60" t="str">
        <f ca="1" t="shared" si="7"/>
        <v>co</v>
      </c>
      <c r="F505" s="51">
        <v>50</v>
      </c>
      <c r="G505" s="51" t="s">
        <v>28</v>
      </c>
      <c r="H505" s="51" t="e">
        <v>#N/A</v>
      </c>
    </row>
    <row r="506" spans="1:8">
      <c r="A506" s="57" t="s">
        <v>1063</v>
      </c>
      <c r="B506" s="58"/>
      <c r="C506" s="57" t="s">
        <v>1064</v>
      </c>
      <c r="D506" s="59" t="s">
        <v>27</v>
      </c>
      <c r="E506" s="60" t="str">
        <f ca="1" t="shared" si="7"/>
        <v>YC</v>
      </c>
      <c r="F506" s="51">
        <v>50</v>
      </c>
      <c r="G506" s="51" t="s">
        <v>28</v>
      </c>
      <c r="H506" s="51">
        <v>2</v>
      </c>
    </row>
    <row r="507" spans="1:8">
      <c r="A507" s="60"/>
      <c r="C507" s="60"/>
      <c r="D507" s="73"/>
      <c r="E507" s="60" t="str">
        <f ca="1" t="shared" si="7"/>
        <v/>
      </c>
      <c r="F507" s="51">
        <v>50</v>
      </c>
      <c r="H507" s="51">
        <v>0</v>
      </c>
    </row>
    <row r="508" spans="1:8">
      <c r="A508" s="60"/>
      <c r="C508" s="60"/>
      <c r="D508" s="73"/>
      <c r="E508" s="60" t="str">
        <f ca="1" t="shared" si="7"/>
        <v/>
      </c>
      <c r="F508" s="51">
        <v>50</v>
      </c>
      <c r="H508" s="51">
        <v>0</v>
      </c>
    </row>
    <row r="509" spans="1:8">
      <c r="A509" s="60" t="s">
        <v>1065</v>
      </c>
      <c r="C509" s="60"/>
      <c r="D509" s="74"/>
      <c r="E509" s="60" t="str">
        <f ca="1" t="shared" si="7"/>
        <v>Bả</v>
      </c>
      <c r="F509" s="51">
        <v>50</v>
      </c>
      <c r="H509" s="51" t="e">
        <v>#N/A</v>
      </c>
    </row>
    <row r="510" spans="1:8">
      <c r="A510" s="60"/>
      <c r="C510" s="60"/>
      <c r="D510" s="73"/>
      <c r="E510" s="60" t="str">
        <f ca="1" t="shared" si="7"/>
        <v/>
      </c>
      <c r="F510" s="51">
        <v>50</v>
      </c>
      <c r="H510" s="51">
        <v>0</v>
      </c>
    </row>
    <row r="511" spans="1:8">
      <c r="A511" s="75" t="s">
        <v>1066</v>
      </c>
      <c r="B511" s="76" t="s">
        <v>19</v>
      </c>
      <c r="C511" s="75" t="s">
        <v>1067</v>
      </c>
      <c r="D511" s="77" t="s">
        <v>21</v>
      </c>
      <c r="E511" s="60" t="str">
        <f ca="1" t="shared" si="7"/>
        <v>Mã</v>
      </c>
      <c r="F511" s="51">
        <v>50</v>
      </c>
      <c r="H511" s="51" t="s">
        <v>1068</v>
      </c>
    </row>
    <row r="512" spans="1:8">
      <c r="A512" s="75">
        <v>1</v>
      </c>
      <c r="B512" s="76">
        <v>2</v>
      </c>
      <c r="C512" s="75">
        <v>3</v>
      </c>
      <c r="D512" s="77">
        <v>4</v>
      </c>
      <c r="E512" s="60" t="str">
        <f ca="1" t="shared" si="7"/>
        <v>1</v>
      </c>
      <c r="F512" s="51">
        <v>50</v>
      </c>
      <c r="H512" s="51">
        <v>0</v>
      </c>
    </row>
    <row r="513" spans="1:8">
      <c r="A513" s="116" t="s">
        <v>1069</v>
      </c>
      <c r="B513" s="115" t="s">
        <v>1070</v>
      </c>
      <c r="C513" s="57" t="s">
        <v>1071</v>
      </c>
      <c r="D513" s="59" t="s">
        <v>600</v>
      </c>
      <c r="E513" s="60" t="str">
        <f ca="1" t="shared" si="7"/>
        <v>MD</v>
      </c>
      <c r="F513" s="51">
        <v>2000</v>
      </c>
      <c r="H513" s="51">
        <v>1.65</v>
      </c>
    </row>
    <row r="514" spans="1:8">
      <c r="A514" s="116" t="s">
        <v>1072</v>
      </c>
      <c r="B514" s="115" t="s">
        <v>1070</v>
      </c>
      <c r="C514" s="57" t="s">
        <v>1073</v>
      </c>
      <c r="D514" s="59" t="s">
        <v>600</v>
      </c>
      <c r="E514" s="60" t="str">
        <f ca="1" t="shared" si="7"/>
        <v>MD</v>
      </c>
      <c r="F514" s="51">
        <v>2000</v>
      </c>
      <c r="H514" s="51" t="s">
        <v>600</v>
      </c>
    </row>
    <row r="515" spans="1:8">
      <c r="A515" s="116" t="s">
        <v>1074</v>
      </c>
      <c r="B515" s="115" t="s">
        <v>1075</v>
      </c>
      <c r="C515" s="57" t="s">
        <v>1076</v>
      </c>
      <c r="D515" s="59" t="s">
        <v>600</v>
      </c>
      <c r="E515" s="60" t="str">
        <f ca="1" t="shared" ref="E515:E578" si="8">LEFT(A515,2)</f>
        <v>MD</v>
      </c>
      <c r="F515" s="51">
        <v>2000</v>
      </c>
      <c r="H515" s="51" t="e">
        <v>#N/A</v>
      </c>
    </row>
    <row r="516" spans="1:8">
      <c r="A516" s="57" t="s">
        <v>1077</v>
      </c>
      <c r="B516" s="115" t="s">
        <v>1078</v>
      </c>
      <c r="C516" s="57" t="s">
        <v>1079</v>
      </c>
      <c r="D516" s="59" t="s">
        <v>600</v>
      </c>
      <c r="E516" s="60" t="str">
        <f ca="1" t="shared" si="8"/>
        <v>MD</v>
      </c>
      <c r="F516" s="51">
        <v>2000</v>
      </c>
      <c r="H516" s="51" t="e">
        <v>#N/A</v>
      </c>
    </row>
    <row r="517" spans="1:8">
      <c r="A517" s="116" t="s">
        <v>1080</v>
      </c>
      <c r="B517" s="115" t="s">
        <v>1081</v>
      </c>
      <c r="C517" s="57" t="s">
        <v>1082</v>
      </c>
      <c r="D517" s="59" t="s">
        <v>600</v>
      </c>
      <c r="E517" s="60" t="str">
        <f ca="1" t="shared" si="8"/>
        <v>MD</v>
      </c>
      <c r="F517" s="51">
        <v>2000</v>
      </c>
      <c r="H517" s="51">
        <v>0.33</v>
      </c>
    </row>
    <row r="518" spans="1:8">
      <c r="A518" s="116" t="s">
        <v>1083</v>
      </c>
      <c r="B518" s="115" t="s">
        <v>1084</v>
      </c>
      <c r="C518" s="57" t="s">
        <v>1085</v>
      </c>
      <c r="D518" s="59" t="s">
        <v>600</v>
      </c>
      <c r="E518" s="60" t="str">
        <f ca="1" t="shared" si="8"/>
        <v>MD</v>
      </c>
      <c r="F518" s="51">
        <v>2000</v>
      </c>
      <c r="H518" s="51" t="e">
        <v>#N/A</v>
      </c>
    </row>
    <row r="519" spans="1:8">
      <c r="A519" s="116" t="s">
        <v>1086</v>
      </c>
      <c r="B519" s="115" t="s">
        <v>1087</v>
      </c>
      <c r="C519" s="57" t="s">
        <v>1088</v>
      </c>
      <c r="D519" s="59" t="s">
        <v>600</v>
      </c>
      <c r="E519" s="60" t="str">
        <f ca="1" t="shared" si="8"/>
        <v>MD</v>
      </c>
      <c r="F519" s="51">
        <v>2000</v>
      </c>
      <c r="H519" s="51">
        <v>15</v>
      </c>
    </row>
    <row r="520" spans="1:8">
      <c r="A520" s="116" t="s">
        <v>1089</v>
      </c>
      <c r="B520" s="119" t="s">
        <v>1090</v>
      </c>
      <c r="C520" s="57" t="s">
        <v>1091</v>
      </c>
      <c r="D520" s="59" t="s">
        <v>600</v>
      </c>
      <c r="E520" s="60" t="str">
        <f ca="1" t="shared" si="8"/>
        <v>MD</v>
      </c>
      <c r="F520" s="51">
        <v>2000</v>
      </c>
      <c r="H520" s="51">
        <v>0.163</v>
      </c>
    </row>
    <row r="521" spans="1:8">
      <c r="A521" s="57" t="s">
        <v>1092</v>
      </c>
      <c r="B521" s="115" t="s">
        <v>1093</v>
      </c>
      <c r="C521" s="57" t="s">
        <v>1094</v>
      </c>
      <c r="D521" s="59" t="s">
        <v>600</v>
      </c>
      <c r="E521" s="60" t="str">
        <f ca="1" t="shared" si="8"/>
        <v>AH</v>
      </c>
      <c r="F521" s="51">
        <v>2000</v>
      </c>
      <c r="H521" s="51">
        <v>0.025</v>
      </c>
    </row>
    <row r="522" spans="1:8">
      <c r="A522" s="116" t="s">
        <v>1095</v>
      </c>
      <c r="B522" s="115" t="s">
        <v>1096</v>
      </c>
      <c r="C522" s="57" t="s">
        <v>1097</v>
      </c>
      <c r="D522" s="59" t="s">
        <v>600</v>
      </c>
      <c r="E522" s="60" t="str">
        <f ca="1" t="shared" si="8"/>
        <v>MD</v>
      </c>
      <c r="F522" s="51">
        <v>2000</v>
      </c>
      <c r="H522" s="51">
        <v>2.09</v>
      </c>
    </row>
    <row r="523" spans="1:8">
      <c r="A523" s="116" t="s">
        <v>1098</v>
      </c>
      <c r="B523" s="115" t="s">
        <v>1099</v>
      </c>
      <c r="C523" s="57" t="s">
        <v>1100</v>
      </c>
      <c r="D523" s="59" t="s">
        <v>600</v>
      </c>
      <c r="E523" s="60" t="str">
        <f ca="1" t="shared" si="8"/>
        <v>MD</v>
      </c>
      <c r="F523" s="51">
        <v>2000</v>
      </c>
      <c r="H523" s="51" t="e">
        <v>#N/A</v>
      </c>
    </row>
    <row r="524" spans="1:8">
      <c r="A524" s="116" t="s">
        <v>1101</v>
      </c>
      <c r="B524" s="115" t="s">
        <v>1102</v>
      </c>
      <c r="C524" s="57" t="s">
        <v>1103</v>
      </c>
      <c r="D524" s="59" t="s">
        <v>600</v>
      </c>
      <c r="E524" s="60" t="str">
        <f ca="1" t="shared" si="8"/>
        <v>MD</v>
      </c>
      <c r="F524" s="51">
        <v>2000</v>
      </c>
      <c r="H524" s="51">
        <v>15</v>
      </c>
    </row>
    <row r="525" spans="1:8">
      <c r="A525" s="116" t="s">
        <v>1104</v>
      </c>
      <c r="B525" s="119" t="s">
        <v>1105</v>
      </c>
      <c r="C525" s="57" t="s">
        <v>1106</v>
      </c>
      <c r="D525" s="59" t="s">
        <v>600</v>
      </c>
      <c r="E525" s="60" t="str">
        <f ca="1" t="shared" si="8"/>
        <v>MD</v>
      </c>
      <c r="F525" s="51">
        <v>2000</v>
      </c>
      <c r="H525" s="51">
        <v>0.131</v>
      </c>
    </row>
    <row r="526" spans="1:8">
      <c r="A526" s="116" t="s">
        <v>1107</v>
      </c>
      <c r="B526" s="115" t="s">
        <v>1108</v>
      </c>
      <c r="C526" s="57" t="s">
        <v>1109</v>
      </c>
      <c r="D526" s="59" t="s">
        <v>600</v>
      </c>
      <c r="E526" s="60" t="str">
        <f ca="1" t="shared" si="8"/>
        <v>MD</v>
      </c>
      <c r="F526" s="51">
        <v>2000</v>
      </c>
      <c r="H526" s="51">
        <v>2.05</v>
      </c>
    </row>
    <row r="527" spans="1:8">
      <c r="A527" s="57" t="s">
        <v>1110</v>
      </c>
      <c r="B527" s="115" t="s">
        <v>1111</v>
      </c>
      <c r="C527" s="57" t="s">
        <v>1112</v>
      </c>
      <c r="D527" s="59" t="s">
        <v>600</v>
      </c>
      <c r="E527" s="60" t="str">
        <f ca="1" t="shared" si="8"/>
        <v>DM</v>
      </c>
      <c r="F527" s="51">
        <v>2000</v>
      </c>
      <c r="H527" s="51" t="e">
        <v>#N/A</v>
      </c>
    </row>
    <row r="528" spans="1:8">
      <c r="A528" s="57" t="s">
        <v>1113</v>
      </c>
      <c r="B528" s="115" t="s">
        <v>1114</v>
      </c>
      <c r="C528" s="57" t="s">
        <v>1115</v>
      </c>
      <c r="D528" s="59" t="s">
        <v>600</v>
      </c>
      <c r="E528" s="60" t="str">
        <f ca="1" t="shared" si="8"/>
        <v>DM</v>
      </c>
      <c r="F528" s="51">
        <v>2000</v>
      </c>
      <c r="H528" s="51" t="s">
        <v>600</v>
      </c>
    </row>
    <row r="529" spans="1:8">
      <c r="A529" s="57" t="s">
        <v>1116</v>
      </c>
      <c r="B529" s="115" t="s">
        <v>1117</v>
      </c>
      <c r="C529" s="57" t="s">
        <v>1118</v>
      </c>
      <c r="D529" s="59" t="s">
        <v>600</v>
      </c>
      <c r="E529" s="60" t="str">
        <f ca="1" t="shared" si="8"/>
        <v>DM</v>
      </c>
      <c r="F529" s="51">
        <v>2000</v>
      </c>
      <c r="H529" s="51" t="e">
        <v>#N/A</v>
      </c>
    </row>
    <row r="530" spans="1:8">
      <c r="A530" s="57" t="s">
        <v>1119</v>
      </c>
      <c r="B530" s="115" t="s">
        <v>1120</v>
      </c>
      <c r="C530" s="57" t="s">
        <v>1121</v>
      </c>
      <c r="D530" s="59" t="s">
        <v>600</v>
      </c>
      <c r="E530" s="60" t="str">
        <f ca="1" t="shared" si="8"/>
        <v>DD</v>
      </c>
      <c r="F530" s="51">
        <v>2000</v>
      </c>
      <c r="H530" s="51" t="e">
        <v>#N/A</v>
      </c>
    </row>
    <row r="531" spans="1:8">
      <c r="A531" s="57" t="s">
        <v>1122</v>
      </c>
      <c r="B531" s="115" t="s">
        <v>1123</v>
      </c>
      <c r="C531" s="57" t="s">
        <v>1124</v>
      </c>
      <c r="D531" s="59" t="s">
        <v>600</v>
      </c>
      <c r="E531" s="60" t="str">
        <f ca="1" t="shared" si="8"/>
        <v>DD</v>
      </c>
      <c r="F531" s="51">
        <v>2000</v>
      </c>
      <c r="H531" s="51" t="s">
        <v>600</v>
      </c>
    </row>
    <row r="532" spans="1:8">
      <c r="A532" s="57" t="s">
        <v>1125</v>
      </c>
      <c r="B532" s="115" t="s">
        <v>1123</v>
      </c>
      <c r="C532" s="57" t="s">
        <v>1126</v>
      </c>
      <c r="D532" s="59" t="s">
        <v>600</v>
      </c>
      <c r="E532" s="60" t="str">
        <f ca="1" t="shared" si="8"/>
        <v>DD</v>
      </c>
      <c r="F532" s="51">
        <v>2000</v>
      </c>
      <c r="H532" s="51" t="e">
        <v>#N/A</v>
      </c>
    </row>
    <row r="533" spans="1:8">
      <c r="A533" s="57" t="s">
        <v>1127</v>
      </c>
      <c r="B533" s="115" t="s">
        <v>1128</v>
      </c>
      <c r="C533" s="57" t="s">
        <v>1129</v>
      </c>
      <c r="D533" s="59" t="s">
        <v>600</v>
      </c>
      <c r="E533" s="60" t="str">
        <f ca="1" t="shared" si="8"/>
        <v>DC</v>
      </c>
      <c r="F533" s="51">
        <v>2000</v>
      </c>
      <c r="H533" s="51">
        <v>0.24</v>
      </c>
    </row>
    <row r="534" spans="1:8">
      <c r="A534" s="57" t="s">
        <v>1130</v>
      </c>
      <c r="B534" s="115" t="s">
        <v>1128</v>
      </c>
      <c r="C534" s="57" t="s">
        <v>1131</v>
      </c>
      <c r="D534" s="59" t="s">
        <v>600</v>
      </c>
      <c r="E534" s="60" t="str">
        <f ca="1" t="shared" si="8"/>
        <v>DD</v>
      </c>
      <c r="F534" s="51">
        <v>2000</v>
      </c>
      <c r="H534" s="51" t="e">
        <v>#N/A</v>
      </c>
    </row>
    <row r="535" spans="1:8">
      <c r="A535" s="57" t="s">
        <v>1132</v>
      </c>
      <c r="B535" s="115" t="s">
        <v>1128</v>
      </c>
      <c r="C535" s="57" t="s">
        <v>1133</v>
      </c>
      <c r="D535" s="59" t="s">
        <v>600</v>
      </c>
      <c r="E535" s="60" t="str">
        <f ca="1" t="shared" si="8"/>
        <v>DD</v>
      </c>
      <c r="F535" s="51">
        <v>2000</v>
      </c>
      <c r="H535" s="51" t="e">
        <v>#N/A</v>
      </c>
    </row>
    <row r="536" spans="1:8">
      <c r="A536" s="57" t="s">
        <v>1134</v>
      </c>
      <c r="B536" s="115" t="s">
        <v>1111</v>
      </c>
      <c r="C536" s="57" t="s">
        <v>1135</v>
      </c>
      <c r="D536" s="59" t="s">
        <v>600</v>
      </c>
      <c r="E536" s="60" t="str">
        <f ca="1" t="shared" si="8"/>
        <v>DT</v>
      </c>
      <c r="F536" s="51">
        <v>2000</v>
      </c>
      <c r="H536" s="51" t="e">
        <v>#N/A</v>
      </c>
    </row>
    <row r="537" spans="1:8">
      <c r="A537" s="57" t="s">
        <v>1136</v>
      </c>
      <c r="B537" s="115" t="s">
        <v>1137</v>
      </c>
      <c r="C537" s="57" t="s">
        <v>1138</v>
      </c>
      <c r="D537" s="59" t="s">
        <v>600</v>
      </c>
      <c r="E537" s="60" t="str">
        <f ca="1" t="shared" si="8"/>
        <v>DT</v>
      </c>
      <c r="F537" s="51">
        <v>2000</v>
      </c>
      <c r="H537" s="51">
        <v>0.24</v>
      </c>
    </row>
    <row r="538" spans="1:8">
      <c r="A538" s="57" t="s">
        <v>1139</v>
      </c>
      <c r="B538" s="115" t="s">
        <v>1114</v>
      </c>
      <c r="C538" s="57" t="s">
        <v>1140</v>
      </c>
      <c r="D538" s="59" t="s">
        <v>600</v>
      </c>
      <c r="E538" s="60" t="str">
        <f ca="1" t="shared" si="8"/>
        <v>DT</v>
      </c>
      <c r="F538" s="51">
        <v>2000</v>
      </c>
      <c r="H538" s="51" t="e">
        <v>#N/A</v>
      </c>
    </row>
    <row r="539" spans="1:8">
      <c r="A539" s="57" t="s">
        <v>1141</v>
      </c>
      <c r="B539" s="115" t="s">
        <v>1120</v>
      </c>
      <c r="C539" s="57" t="s">
        <v>1142</v>
      </c>
      <c r="D539" s="59" t="s">
        <v>600</v>
      </c>
      <c r="E539" s="60" t="str">
        <f ca="1" t="shared" si="8"/>
        <v>DA</v>
      </c>
      <c r="F539" s="51">
        <v>2000</v>
      </c>
      <c r="H539" s="51" t="e">
        <v>#N/A</v>
      </c>
    </row>
    <row r="540" spans="1:8">
      <c r="A540" s="57" t="s">
        <v>1143</v>
      </c>
      <c r="B540" s="115" t="s">
        <v>1144</v>
      </c>
      <c r="C540" s="57" t="s">
        <v>1145</v>
      </c>
      <c r="D540" s="59" t="s">
        <v>600</v>
      </c>
      <c r="E540" s="60" t="str">
        <f ca="1" t="shared" si="8"/>
        <v>DA</v>
      </c>
      <c r="F540" s="51">
        <v>2000</v>
      </c>
      <c r="H540" s="51">
        <v>0.09</v>
      </c>
    </row>
    <row r="541" spans="1:8">
      <c r="A541" s="57" t="s">
        <v>1146</v>
      </c>
      <c r="B541" s="115" t="s">
        <v>1123</v>
      </c>
      <c r="C541" s="57" t="s">
        <v>1147</v>
      </c>
      <c r="D541" s="59" t="s">
        <v>600</v>
      </c>
      <c r="E541" s="60" t="str">
        <f ca="1" t="shared" si="8"/>
        <v>DA</v>
      </c>
      <c r="F541" s="51">
        <v>2000</v>
      </c>
      <c r="H541" s="51" t="e">
        <v>#N/A</v>
      </c>
    </row>
    <row r="542" spans="1:8">
      <c r="A542" s="57" t="s">
        <v>1148</v>
      </c>
      <c r="B542" s="115" t="s">
        <v>1149</v>
      </c>
      <c r="C542" s="64" t="s">
        <v>1150</v>
      </c>
      <c r="D542" s="59" t="s">
        <v>57</v>
      </c>
      <c r="E542" s="60" t="str">
        <f ca="1" t="shared" si="8"/>
        <v>LG</v>
      </c>
      <c r="F542" s="51">
        <v>2000</v>
      </c>
      <c r="H542" s="51" t="s">
        <v>57</v>
      </c>
    </row>
    <row r="543" spans="1:8">
      <c r="A543" s="57" t="s">
        <v>1151</v>
      </c>
      <c r="B543" s="58" t="s">
        <v>1152</v>
      </c>
      <c r="C543" s="64" t="s">
        <v>1153</v>
      </c>
      <c r="D543" s="59" t="s">
        <v>57</v>
      </c>
      <c r="E543" s="60" t="str">
        <f ca="1" t="shared" si="8"/>
        <v>la</v>
      </c>
      <c r="F543" s="51">
        <v>2000</v>
      </c>
      <c r="H543" s="51" t="e">
        <v>#N/A</v>
      </c>
    </row>
    <row r="544" spans="1:8">
      <c r="A544" s="57" t="s">
        <v>1154</v>
      </c>
      <c r="B544" s="115" t="s">
        <v>1155</v>
      </c>
      <c r="C544" s="57" t="s">
        <v>1156</v>
      </c>
      <c r="D544" s="59" t="s">
        <v>987</v>
      </c>
      <c r="E544" s="60" t="str">
        <f ca="1" t="shared" si="8"/>
        <v>LG</v>
      </c>
      <c r="F544" s="51">
        <v>2000</v>
      </c>
      <c r="H544" s="51" t="e">
        <v>#N/A</v>
      </c>
    </row>
    <row r="545" spans="1:8">
      <c r="A545" s="57" t="s">
        <v>1157</v>
      </c>
      <c r="B545" s="58"/>
      <c r="C545" s="57" t="s">
        <v>1158</v>
      </c>
      <c r="D545" s="59" t="s">
        <v>600</v>
      </c>
      <c r="E545" s="60" t="str">
        <f ca="1" t="shared" si="8"/>
        <v>LN</v>
      </c>
      <c r="F545" s="51">
        <v>2000</v>
      </c>
      <c r="H545" s="51" t="e">
        <v>#N/A</v>
      </c>
    </row>
    <row r="546" spans="1:8">
      <c r="A546" s="116" t="s">
        <v>1159</v>
      </c>
      <c r="B546" s="115" t="s">
        <v>30</v>
      </c>
      <c r="C546" s="57" t="s">
        <v>1160</v>
      </c>
      <c r="D546" s="59" t="s">
        <v>27</v>
      </c>
      <c r="E546" s="60" t="str">
        <f ca="1" t="shared" si="8"/>
        <v>M1</v>
      </c>
      <c r="F546" s="51">
        <v>2000</v>
      </c>
      <c r="H546" s="51">
        <v>0</v>
      </c>
    </row>
    <row r="547" spans="1:8">
      <c r="A547" s="57" t="s">
        <v>1161</v>
      </c>
      <c r="B547" s="115" t="s">
        <v>30</v>
      </c>
      <c r="C547" s="57" t="s">
        <v>1162</v>
      </c>
      <c r="D547" s="59" t="s">
        <v>27</v>
      </c>
      <c r="E547" s="60" t="str">
        <f ca="1" t="shared" si="8"/>
        <v>M1</v>
      </c>
      <c r="F547" s="51">
        <v>2000</v>
      </c>
      <c r="H547" s="51" t="e">
        <v>#N/A</v>
      </c>
    </row>
    <row r="548" spans="1:8">
      <c r="A548" s="57" t="s">
        <v>1163</v>
      </c>
      <c r="B548" s="115" t="s">
        <v>33</v>
      </c>
      <c r="C548" s="57" t="s">
        <v>1164</v>
      </c>
      <c r="D548" s="59" t="s">
        <v>27</v>
      </c>
      <c r="E548" s="60" t="str">
        <f ca="1" t="shared" si="8"/>
        <v>MD</v>
      </c>
      <c r="F548" s="51">
        <v>2000</v>
      </c>
      <c r="H548" s="51" t="e">
        <v>#N/A</v>
      </c>
    </row>
    <row r="549" spans="1:8">
      <c r="A549" s="57" t="s">
        <v>1165</v>
      </c>
      <c r="B549" s="115" t="s">
        <v>211</v>
      </c>
      <c r="C549" s="57" t="s">
        <v>1166</v>
      </c>
      <c r="D549" s="59" t="s">
        <v>213</v>
      </c>
      <c r="E549" s="60" t="str">
        <f ca="1" t="shared" si="8"/>
        <v>DC</v>
      </c>
      <c r="F549" s="51">
        <v>2000</v>
      </c>
      <c r="H549" s="51" t="e">
        <v>#N/A</v>
      </c>
    </row>
    <row r="550" spans="1:8">
      <c r="A550" s="57" t="s">
        <v>1167</v>
      </c>
      <c r="B550" s="115" t="s">
        <v>211</v>
      </c>
      <c r="C550" s="57" t="s">
        <v>1168</v>
      </c>
      <c r="D550" s="59" t="s">
        <v>213</v>
      </c>
      <c r="E550" s="60" t="str">
        <f ca="1" t="shared" si="8"/>
        <v>DC</v>
      </c>
      <c r="F550" s="51">
        <v>2000</v>
      </c>
      <c r="H550" s="51" t="e">
        <v>#N/A</v>
      </c>
    </row>
    <row r="551" spans="1:8">
      <c r="A551" s="57" t="s">
        <v>1169</v>
      </c>
      <c r="B551" s="115" t="s">
        <v>211</v>
      </c>
      <c r="C551" s="57" t="s">
        <v>1170</v>
      </c>
      <c r="D551" s="59" t="s">
        <v>213</v>
      </c>
      <c r="E551" s="60" t="str">
        <f ca="1" t="shared" si="8"/>
        <v>DC</v>
      </c>
      <c r="F551" s="51">
        <v>2000</v>
      </c>
      <c r="H551" s="51" t="e">
        <v>#N/A</v>
      </c>
    </row>
    <row r="552" spans="1:8">
      <c r="A552" s="57" t="s">
        <v>1171</v>
      </c>
      <c r="B552" s="115" t="s">
        <v>611</v>
      </c>
      <c r="C552" s="57" t="s">
        <v>1172</v>
      </c>
      <c r="D552" s="59" t="s">
        <v>606</v>
      </c>
      <c r="E552" s="60" t="str">
        <f ca="1" t="shared" si="8"/>
        <v>QB</v>
      </c>
      <c r="F552" s="51">
        <v>2000</v>
      </c>
      <c r="H552" s="51" t="e">
        <v>#N/A</v>
      </c>
    </row>
    <row r="553" spans="1:8">
      <c r="A553" s="57" t="s">
        <v>1173</v>
      </c>
      <c r="B553" s="115" t="s">
        <v>1174</v>
      </c>
      <c r="C553" s="57" t="s">
        <v>1175</v>
      </c>
      <c r="D553" s="59" t="s">
        <v>1176</v>
      </c>
      <c r="E553" s="60" t="str">
        <f ca="1" t="shared" si="8"/>
        <v>VC</v>
      </c>
      <c r="F553" s="51">
        <v>2000</v>
      </c>
      <c r="H553" s="51" t="e">
        <v>#N/A</v>
      </c>
    </row>
    <row r="554" spans="1:8">
      <c r="A554" s="57" t="s">
        <v>1177</v>
      </c>
      <c r="B554" s="115" t="s">
        <v>1178</v>
      </c>
      <c r="C554" s="57" t="s">
        <v>1179</v>
      </c>
      <c r="D554" s="59" t="s">
        <v>1176</v>
      </c>
      <c r="E554" s="60" t="str">
        <f ca="1" t="shared" si="8"/>
        <v>VC</v>
      </c>
      <c r="F554" s="51">
        <v>2000</v>
      </c>
      <c r="H554" s="51" t="e">
        <v>#N/A</v>
      </c>
    </row>
    <row r="555" spans="1:8">
      <c r="A555" s="57" t="s">
        <v>1180</v>
      </c>
      <c r="B555" s="115" t="s">
        <v>1181</v>
      </c>
      <c r="C555" s="57" t="s">
        <v>1182</v>
      </c>
      <c r="D555" s="59" t="s">
        <v>1176</v>
      </c>
      <c r="E555" s="60" t="str">
        <f ca="1" t="shared" si="8"/>
        <v>VC</v>
      </c>
      <c r="F555" s="51">
        <v>2000</v>
      </c>
      <c r="H555" s="51" t="e">
        <v>#N/A</v>
      </c>
    </row>
    <row r="556" spans="1:8">
      <c r="A556" s="57" t="s">
        <v>1183</v>
      </c>
      <c r="B556" s="115" t="s">
        <v>1184</v>
      </c>
      <c r="C556" s="57" t="s">
        <v>1185</v>
      </c>
      <c r="D556" s="59" t="s">
        <v>1176</v>
      </c>
      <c r="E556" s="60" t="str">
        <f ca="1" t="shared" si="8"/>
        <v>VC</v>
      </c>
      <c r="F556" s="51">
        <v>2000</v>
      </c>
      <c r="H556" s="51" t="e">
        <v>#N/A</v>
      </c>
    </row>
    <row r="557" spans="1:8">
      <c r="A557" s="57" t="s">
        <v>1186</v>
      </c>
      <c r="B557" s="115" t="s">
        <v>1174</v>
      </c>
      <c r="C557" s="57" t="s">
        <v>1187</v>
      </c>
      <c r="D557" s="59" t="s">
        <v>1176</v>
      </c>
      <c r="E557" s="60" t="str">
        <f ca="1" t="shared" si="8"/>
        <v>VC</v>
      </c>
      <c r="F557" s="51">
        <v>2000</v>
      </c>
      <c r="H557" s="51" t="e">
        <v>#N/A</v>
      </c>
    </row>
    <row r="558" spans="1:8">
      <c r="A558" s="57" t="s">
        <v>1188</v>
      </c>
      <c r="B558" s="115" t="s">
        <v>1178</v>
      </c>
      <c r="C558" s="57" t="s">
        <v>1189</v>
      </c>
      <c r="D558" s="59" t="s">
        <v>1176</v>
      </c>
      <c r="E558" s="60" t="str">
        <f ca="1" t="shared" si="8"/>
        <v>VC</v>
      </c>
      <c r="F558" s="51">
        <v>2000</v>
      </c>
      <c r="H558" s="51" t="e">
        <v>#N/A</v>
      </c>
    </row>
    <row r="559" spans="1:8">
      <c r="A559" s="57" t="s">
        <v>1190</v>
      </c>
      <c r="B559" s="115" t="s">
        <v>1181</v>
      </c>
      <c r="C559" s="57" t="s">
        <v>1191</v>
      </c>
      <c r="D559" s="59" t="s">
        <v>1176</v>
      </c>
      <c r="E559" s="60" t="str">
        <f ca="1" t="shared" si="8"/>
        <v>VC</v>
      </c>
      <c r="F559" s="51">
        <v>2000</v>
      </c>
      <c r="H559" s="51" t="e">
        <v>#N/A</v>
      </c>
    </row>
    <row r="560" spans="1:8">
      <c r="A560" s="57" t="s">
        <v>1192</v>
      </c>
      <c r="B560" s="115" t="s">
        <v>1184</v>
      </c>
      <c r="C560" s="57" t="s">
        <v>1193</v>
      </c>
      <c r="D560" s="59" t="s">
        <v>1176</v>
      </c>
      <c r="E560" s="60" t="str">
        <f ca="1" t="shared" si="8"/>
        <v>VC</v>
      </c>
      <c r="F560" s="51">
        <v>2000</v>
      </c>
      <c r="H560" s="51" t="e">
        <v>#N/A</v>
      </c>
    </row>
    <row r="561" spans="1:8">
      <c r="A561" s="57" t="s">
        <v>1194</v>
      </c>
      <c r="B561" s="115" t="s">
        <v>1195</v>
      </c>
      <c r="C561" s="57" t="s">
        <v>1196</v>
      </c>
      <c r="D561" s="59" t="s">
        <v>1176</v>
      </c>
      <c r="E561" s="60" t="str">
        <f ca="1" t="shared" si="8"/>
        <v>VC</v>
      </c>
      <c r="F561" s="51">
        <v>2000</v>
      </c>
      <c r="H561" s="51" t="e">
        <v>#N/A</v>
      </c>
    </row>
    <row r="562" spans="1:8">
      <c r="A562" s="57" t="s">
        <v>1197</v>
      </c>
      <c r="B562" s="115" t="s">
        <v>1198</v>
      </c>
      <c r="C562" s="57" t="s">
        <v>1199</v>
      </c>
      <c r="D562" s="59" t="s">
        <v>1176</v>
      </c>
      <c r="E562" s="60" t="str">
        <f ca="1" t="shared" si="8"/>
        <v>VC</v>
      </c>
      <c r="F562" s="51">
        <v>2000</v>
      </c>
      <c r="H562" s="51" t="e">
        <v>#N/A</v>
      </c>
    </row>
    <row r="563" spans="1:8">
      <c r="A563" s="57" t="s">
        <v>1200</v>
      </c>
      <c r="B563" s="115" t="s">
        <v>1201</v>
      </c>
      <c r="C563" s="57" t="s">
        <v>1202</v>
      </c>
      <c r="D563" s="59" t="s">
        <v>1176</v>
      </c>
      <c r="E563" s="60" t="str">
        <f ca="1" t="shared" si="8"/>
        <v>VC</v>
      </c>
      <c r="F563" s="51">
        <v>2000</v>
      </c>
      <c r="H563" s="51" t="e">
        <v>#N/A</v>
      </c>
    </row>
    <row r="564" spans="1:8">
      <c r="A564" s="57" t="s">
        <v>1203</v>
      </c>
      <c r="B564" s="115" t="s">
        <v>1204</v>
      </c>
      <c r="C564" s="57" t="s">
        <v>1205</v>
      </c>
      <c r="D564" s="59" t="s">
        <v>1176</v>
      </c>
      <c r="E564" s="60" t="str">
        <f ca="1" t="shared" si="8"/>
        <v>VC</v>
      </c>
      <c r="F564" s="51">
        <v>2000</v>
      </c>
      <c r="H564" s="51" t="e">
        <v>#N/A</v>
      </c>
    </row>
    <row r="565" spans="1:8">
      <c r="A565" s="57" t="s">
        <v>1206</v>
      </c>
      <c r="B565" s="115" t="s">
        <v>1207</v>
      </c>
      <c r="C565" s="57" t="s">
        <v>1208</v>
      </c>
      <c r="D565" s="59" t="s">
        <v>1176</v>
      </c>
      <c r="E565" s="60" t="str">
        <f ca="1" t="shared" si="8"/>
        <v>VC</v>
      </c>
      <c r="F565" s="51">
        <v>2000</v>
      </c>
      <c r="H565" s="51" t="e">
        <v>#N/A</v>
      </c>
    </row>
    <row r="566" spans="1:8">
      <c r="A566" s="57" t="s">
        <v>1209</v>
      </c>
      <c r="B566" s="115" t="s">
        <v>1210</v>
      </c>
      <c r="C566" s="57" t="s">
        <v>1211</v>
      </c>
      <c r="D566" s="59" t="s">
        <v>1176</v>
      </c>
      <c r="E566" s="60" t="str">
        <f ca="1" t="shared" si="8"/>
        <v>VC</v>
      </c>
      <c r="F566" s="51">
        <v>2000</v>
      </c>
      <c r="H566" s="51" t="e">
        <v>#N/A</v>
      </c>
    </row>
    <row r="567" spans="1:8">
      <c r="A567" s="57" t="s">
        <v>1212</v>
      </c>
      <c r="B567" s="115" t="s">
        <v>1213</v>
      </c>
      <c r="C567" s="57" t="s">
        <v>1214</v>
      </c>
      <c r="D567" s="59" t="s">
        <v>1176</v>
      </c>
      <c r="E567" s="60" t="str">
        <f ca="1" t="shared" si="8"/>
        <v>VC</v>
      </c>
      <c r="F567" s="51">
        <v>2000</v>
      </c>
      <c r="H567" s="51" t="e">
        <v>#N/A</v>
      </c>
    </row>
    <row r="568" spans="1:8">
      <c r="A568" s="57" t="s">
        <v>1215</v>
      </c>
      <c r="B568" s="115" t="s">
        <v>1216</v>
      </c>
      <c r="C568" s="57" t="s">
        <v>1217</v>
      </c>
      <c r="D568" s="59" t="s">
        <v>1176</v>
      </c>
      <c r="E568" s="60" t="str">
        <f ca="1" t="shared" si="8"/>
        <v>VC</v>
      </c>
      <c r="F568" s="51">
        <v>2000</v>
      </c>
      <c r="H568" s="51" t="e">
        <v>#N/A</v>
      </c>
    </row>
    <row r="569" spans="1:8">
      <c r="A569" s="57" t="s">
        <v>1218</v>
      </c>
      <c r="B569" s="115" t="s">
        <v>1195</v>
      </c>
      <c r="C569" s="57" t="s">
        <v>1219</v>
      </c>
      <c r="D569" s="59" t="s">
        <v>1176</v>
      </c>
      <c r="E569" s="60" t="str">
        <f ca="1" t="shared" si="8"/>
        <v>VC</v>
      </c>
      <c r="F569" s="51">
        <v>2000</v>
      </c>
      <c r="H569" s="51" t="e">
        <v>#N/A</v>
      </c>
    </row>
    <row r="570" spans="1:8">
      <c r="A570" s="57" t="s">
        <v>1220</v>
      </c>
      <c r="B570" s="115" t="s">
        <v>1198</v>
      </c>
      <c r="C570" s="57" t="s">
        <v>1221</v>
      </c>
      <c r="D570" s="59" t="s">
        <v>1176</v>
      </c>
      <c r="E570" s="60" t="str">
        <f ca="1" t="shared" si="8"/>
        <v>VC</v>
      </c>
      <c r="F570" s="51">
        <v>2000</v>
      </c>
      <c r="H570" s="51" t="e">
        <v>#N/A</v>
      </c>
    </row>
    <row r="571" spans="1:8">
      <c r="A571" s="57" t="s">
        <v>1222</v>
      </c>
      <c r="B571" s="115" t="s">
        <v>1201</v>
      </c>
      <c r="C571" s="57" t="s">
        <v>1223</v>
      </c>
      <c r="D571" s="59" t="s">
        <v>1176</v>
      </c>
      <c r="E571" s="60" t="str">
        <f ca="1" t="shared" si="8"/>
        <v>VC</v>
      </c>
      <c r="F571" s="51">
        <v>2000</v>
      </c>
      <c r="H571" s="51" t="e">
        <v>#N/A</v>
      </c>
    </row>
    <row r="572" spans="1:8">
      <c r="A572" s="57" t="s">
        <v>1224</v>
      </c>
      <c r="B572" s="115" t="s">
        <v>1204</v>
      </c>
      <c r="C572" s="57" t="s">
        <v>1225</v>
      </c>
      <c r="D572" s="59" t="s">
        <v>1176</v>
      </c>
      <c r="E572" s="60" t="str">
        <f ca="1" t="shared" si="8"/>
        <v>VC</v>
      </c>
      <c r="F572" s="51">
        <v>2000</v>
      </c>
      <c r="H572" s="51" t="e">
        <v>#N/A</v>
      </c>
    </row>
    <row r="573" spans="1:8">
      <c r="A573" s="57" t="s">
        <v>1226</v>
      </c>
      <c r="B573" s="115" t="s">
        <v>1227</v>
      </c>
      <c r="C573" s="57" t="s">
        <v>1228</v>
      </c>
      <c r="D573" s="59" t="s">
        <v>1176</v>
      </c>
      <c r="E573" s="60" t="str">
        <f ca="1" t="shared" si="8"/>
        <v>VC</v>
      </c>
      <c r="F573" s="51">
        <v>2000</v>
      </c>
      <c r="H573" s="51" t="e">
        <v>#N/A</v>
      </c>
    </row>
    <row r="574" spans="1:8">
      <c r="A574" s="57" t="s">
        <v>1229</v>
      </c>
      <c r="B574" s="115" t="s">
        <v>1230</v>
      </c>
      <c r="C574" s="57" t="s">
        <v>1231</v>
      </c>
      <c r="D574" s="59" t="s">
        <v>1176</v>
      </c>
      <c r="E574" s="60" t="str">
        <f ca="1" t="shared" si="8"/>
        <v>VC</v>
      </c>
      <c r="F574" s="51">
        <v>2000</v>
      </c>
      <c r="H574" s="51" t="e">
        <v>#N/A</v>
      </c>
    </row>
    <row r="575" spans="1:8">
      <c r="A575" s="57" t="s">
        <v>1232</v>
      </c>
      <c r="B575" s="115" t="s">
        <v>1233</v>
      </c>
      <c r="C575" s="57" t="s">
        <v>1234</v>
      </c>
      <c r="D575" s="59" t="s">
        <v>1176</v>
      </c>
      <c r="E575" s="60" t="str">
        <f ca="1" t="shared" si="8"/>
        <v>VC</v>
      </c>
      <c r="F575" s="51">
        <v>2000</v>
      </c>
      <c r="H575" s="51" t="e">
        <v>#N/A</v>
      </c>
    </row>
    <row r="576" spans="1:8">
      <c r="A576" s="57" t="s">
        <v>1235</v>
      </c>
      <c r="B576" s="115" t="s">
        <v>1236</v>
      </c>
      <c r="C576" s="57" t="s">
        <v>1237</v>
      </c>
      <c r="D576" s="59" t="s">
        <v>1176</v>
      </c>
      <c r="E576" s="60" t="str">
        <f ca="1" t="shared" si="8"/>
        <v>VC</v>
      </c>
      <c r="F576" s="51">
        <v>2000</v>
      </c>
      <c r="H576" s="51" t="e">
        <v>#N/A</v>
      </c>
    </row>
    <row r="577" spans="1:8">
      <c r="A577" s="57" t="s">
        <v>1238</v>
      </c>
      <c r="B577" s="115" t="s">
        <v>1239</v>
      </c>
      <c r="C577" s="57" t="s">
        <v>1240</v>
      </c>
      <c r="D577" s="59" t="s">
        <v>1176</v>
      </c>
      <c r="E577" s="60" t="str">
        <f ca="1" t="shared" si="8"/>
        <v>VC</v>
      </c>
      <c r="F577" s="51">
        <v>2000</v>
      </c>
      <c r="H577" s="51" t="e">
        <v>#N/A</v>
      </c>
    </row>
    <row r="578" spans="1:8">
      <c r="A578" s="57" t="s">
        <v>1241</v>
      </c>
      <c r="B578" s="115" t="s">
        <v>1242</v>
      </c>
      <c r="C578" s="57" t="s">
        <v>1243</v>
      </c>
      <c r="D578" s="59" t="s">
        <v>1176</v>
      </c>
      <c r="E578" s="60" t="str">
        <f ca="1" t="shared" si="8"/>
        <v>VC</v>
      </c>
      <c r="F578" s="51">
        <v>2000</v>
      </c>
      <c r="H578" s="51" t="e">
        <v>#N/A</v>
      </c>
    </row>
    <row r="579" spans="1:8">
      <c r="A579" s="57" t="s">
        <v>1244</v>
      </c>
      <c r="B579" s="115" t="s">
        <v>1245</v>
      </c>
      <c r="C579" s="57" t="s">
        <v>1246</v>
      </c>
      <c r="D579" s="59" t="s">
        <v>1176</v>
      </c>
      <c r="E579" s="60" t="str">
        <f ca="1" t="shared" ref="E579:E642" si="9">LEFT(A579,2)</f>
        <v>VC</v>
      </c>
      <c r="F579" s="51">
        <v>2000</v>
      </c>
      <c r="H579" s="51" t="e">
        <v>#N/A</v>
      </c>
    </row>
    <row r="580" spans="1:8">
      <c r="A580" s="57" t="s">
        <v>1247</v>
      </c>
      <c r="B580" s="115" t="s">
        <v>1248</v>
      </c>
      <c r="C580" s="57" t="s">
        <v>1249</v>
      </c>
      <c r="D580" s="59" t="s">
        <v>1176</v>
      </c>
      <c r="E580" s="60" t="str">
        <f ca="1" t="shared" si="9"/>
        <v>VC</v>
      </c>
      <c r="F580" s="51">
        <v>2000</v>
      </c>
      <c r="H580" s="51" t="e">
        <v>#N/A</v>
      </c>
    </row>
    <row r="581" spans="1:8">
      <c r="A581" s="57" t="s">
        <v>1250</v>
      </c>
      <c r="B581" s="115" t="s">
        <v>1251</v>
      </c>
      <c r="C581" s="57" t="s">
        <v>1252</v>
      </c>
      <c r="D581" s="59" t="s">
        <v>1176</v>
      </c>
      <c r="E581" s="60" t="str">
        <f ca="1" t="shared" si="9"/>
        <v>VC</v>
      </c>
      <c r="F581" s="51">
        <v>2000</v>
      </c>
      <c r="H581" s="51" t="e">
        <v>#N/A</v>
      </c>
    </row>
    <row r="582" spans="1:8">
      <c r="A582" s="57" t="s">
        <v>1253</v>
      </c>
      <c r="B582" s="115" t="s">
        <v>1254</v>
      </c>
      <c r="C582" s="57" t="s">
        <v>1255</v>
      </c>
      <c r="D582" s="59" t="s">
        <v>1176</v>
      </c>
      <c r="E582" s="60" t="str">
        <f ca="1" t="shared" si="9"/>
        <v>VC</v>
      </c>
      <c r="F582" s="51">
        <v>2000</v>
      </c>
      <c r="H582" s="51" t="e">
        <v>#N/A</v>
      </c>
    </row>
    <row r="583" spans="1:8">
      <c r="A583" s="57" t="s">
        <v>1256</v>
      </c>
      <c r="B583" s="115" t="s">
        <v>1257</v>
      </c>
      <c r="C583" s="57" t="s">
        <v>1258</v>
      </c>
      <c r="D583" s="59" t="s">
        <v>1176</v>
      </c>
      <c r="E583" s="60" t="str">
        <f ca="1" t="shared" si="9"/>
        <v>VC</v>
      </c>
      <c r="F583" s="51">
        <v>2000</v>
      </c>
      <c r="H583" s="51" t="e">
        <v>#N/A</v>
      </c>
    </row>
    <row r="584" spans="1:8">
      <c r="A584" s="57" t="s">
        <v>1259</v>
      </c>
      <c r="B584" s="115" t="s">
        <v>1260</v>
      </c>
      <c r="C584" s="57" t="s">
        <v>1261</v>
      </c>
      <c r="D584" s="59" t="s">
        <v>1176</v>
      </c>
      <c r="E584" s="60" t="str">
        <f ca="1" t="shared" si="9"/>
        <v>VC</v>
      </c>
      <c r="F584" s="51">
        <v>2000</v>
      </c>
      <c r="H584" s="51" t="e">
        <v>#N/A</v>
      </c>
    </row>
    <row r="585" spans="1:8">
      <c r="A585" s="57" t="s">
        <v>1262</v>
      </c>
      <c r="B585" s="115" t="s">
        <v>1263</v>
      </c>
      <c r="C585" s="57" t="s">
        <v>1264</v>
      </c>
      <c r="D585" s="59" t="s">
        <v>1176</v>
      </c>
      <c r="E585" s="60" t="str">
        <f ca="1" t="shared" si="9"/>
        <v>VC</v>
      </c>
      <c r="F585" s="51">
        <v>2000</v>
      </c>
      <c r="H585" s="51" t="e">
        <v>#N/A</v>
      </c>
    </row>
    <row r="586" spans="1:8">
      <c r="A586" s="57" t="s">
        <v>1265</v>
      </c>
      <c r="B586" s="115" t="s">
        <v>1266</v>
      </c>
      <c r="C586" s="57" t="s">
        <v>1267</v>
      </c>
      <c r="D586" s="59" t="s">
        <v>1176</v>
      </c>
      <c r="E586" s="60" t="str">
        <f ca="1" t="shared" si="9"/>
        <v>VC</v>
      </c>
      <c r="F586" s="51">
        <v>2000</v>
      </c>
      <c r="H586" s="51" t="e">
        <v>#N/A</v>
      </c>
    </row>
    <row r="587" spans="1:8">
      <c r="A587" s="57" t="s">
        <v>1268</v>
      </c>
      <c r="B587" s="115" t="s">
        <v>1269</v>
      </c>
      <c r="C587" s="57" t="s">
        <v>1270</v>
      </c>
      <c r="D587" s="59" t="s">
        <v>1176</v>
      </c>
      <c r="E587" s="60" t="str">
        <f ca="1" t="shared" si="9"/>
        <v>VC</v>
      </c>
      <c r="F587" s="51">
        <v>2000</v>
      </c>
      <c r="H587" s="51" t="e">
        <v>#N/A</v>
      </c>
    </row>
    <row r="588" spans="1:8">
      <c r="A588" s="57" t="s">
        <v>1271</v>
      </c>
      <c r="B588" s="115" t="s">
        <v>1272</v>
      </c>
      <c r="C588" s="57" t="s">
        <v>1273</v>
      </c>
      <c r="D588" s="59" t="s">
        <v>1176</v>
      </c>
      <c r="E588" s="60" t="str">
        <f ca="1" t="shared" si="9"/>
        <v>VC</v>
      </c>
      <c r="F588" s="51">
        <v>2000</v>
      </c>
      <c r="H588" s="51" t="e">
        <v>#N/A</v>
      </c>
    </row>
    <row r="589" spans="1:8">
      <c r="A589" s="57" t="s">
        <v>1274</v>
      </c>
      <c r="B589" s="115" t="s">
        <v>1275</v>
      </c>
      <c r="C589" s="57" t="s">
        <v>1276</v>
      </c>
      <c r="D589" s="59" t="s">
        <v>1176</v>
      </c>
      <c r="E589" s="60" t="str">
        <f ca="1" t="shared" si="9"/>
        <v>VC</v>
      </c>
      <c r="F589" s="51">
        <v>2000</v>
      </c>
      <c r="H589" s="51">
        <v>0</v>
      </c>
    </row>
    <row r="590" spans="1:8">
      <c r="A590" s="57" t="s">
        <v>1277</v>
      </c>
      <c r="B590" s="115" t="s">
        <v>1278</v>
      </c>
      <c r="C590" s="57" t="s">
        <v>1279</v>
      </c>
      <c r="D590" s="59" t="s">
        <v>1176</v>
      </c>
      <c r="E590" s="60" t="str">
        <f ca="1" t="shared" si="9"/>
        <v>VC</v>
      </c>
      <c r="F590" s="51">
        <v>2000</v>
      </c>
      <c r="H590" s="51" t="e">
        <v>#N/A</v>
      </c>
    </row>
    <row r="591" spans="1:8">
      <c r="A591" s="57" t="s">
        <v>1280</v>
      </c>
      <c r="B591" s="115" t="s">
        <v>1281</v>
      </c>
      <c r="C591" s="57" t="s">
        <v>1282</v>
      </c>
      <c r="D591" s="59" t="s">
        <v>1176</v>
      </c>
      <c r="E591" s="60" t="str">
        <f ca="1" t="shared" si="9"/>
        <v>VC</v>
      </c>
      <c r="F591" s="51">
        <v>2000</v>
      </c>
      <c r="H591" s="51" t="e">
        <v>#N/A</v>
      </c>
    </row>
    <row r="592" spans="1:8">
      <c r="A592" s="57" t="s">
        <v>1283</v>
      </c>
      <c r="B592" s="115" t="s">
        <v>1284</v>
      </c>
      <c r="C592" s="57" t="s">
        <v>1285</v>
      </c>
      <c r="D592" s="59" t="s">
        <v>1176</v>
      </c>
      <c r="E592" s="60" t="str">
        <f ca="1" t="shared" si="9"/>
        <v>VC</v>
      </c>
      <c r="F592" s="51">
        <v>2000</v>
      </c>
      <c r="H592" s="51" t="e">
        <v>#N/A</v>
      </c>
    </row>
    <row r="593" spans="1:8">
      <c r="A593" s="57" t="s">
        <v>1286</v>
      </c>
      <c r="B593" s="115" t="s">
        <v>1287</v>
      </c>
      <c r="C593" s="57" t="s">
        <v>1288</v>
      </c>
      <c r="D593" s="59" t="s">
        <v>213</v>
      </c>
      <c r="E593" s="60" t="str">
        <f ca="1" t="shared" si="9"/>
        <v>VC</v>
      </c>
      <c r="F593" s="51">
        <v>2000</v>
      </c>
      <c r="H593" s="51" t="e">
        <v>#N/A</v>
      </c>
    </row>
    <row r="594" spans="1:8">
      <c r="A594" s="57" t="s">
        <v>1289</v>
      </c>
      <c r="B594" s="115" t="s">
        <v>1290</v>
      </c>
      <c r="C594" s="57" t="s">
        <v>1291</v>
      </c>
      <c r="D594" s="59" t="s">
        <v>213</v>
      </c>
      <c r="E594" s="60" t="str">
        <f ca="1" t="shared" si="9"/>
        <v>VC</v>
      </c>
      <c r="F594" s="51">
        <v>2000</v>
      </c>
      <c r="H594" s="51" t="e">
        <v>#N/A</v>
      </c>
    </row>
    <row r="595" spans="1:8">
      <c r="A595" s="57" t="s">
        <v>1292</v>
      </c>
      <c r="B595" s="115" t="s">
        <v>1293</v>
      </c>
      <c r="C595" s="57" t="s">
        <v>1294</v>
      </c>
      <c r="D595" s="59" t="s">
        <v>213</v>
      </c>
      <c r="E595" s="60" t="str">
        <f ca="1" t="shared" si="9"/>
        <v>VC</v>
      </c>
      <c r="F595" s="51">
        <v>2000</v>
      </c>
      <c r="H595" s="51" t="e">
        <v>#N/A</v>
      </c>
    </row>
    <row r="596" spans="1:8">
      <c r="A596" s="57" t="s">
        <v>1295</v>
      </c>
      <c r="B596" s="115" t="s">
        <v>1296</v>
      </c>
      <c r="C596" s="57" t="s">
        <v>1297</v>
      </c>
      <c r="D596" s="59" t="s">
        <v>213</v>
      </c>
      <c r="E596" s="60" t="str">
        <f ca="1" t="shared" si="9"/>
        <v>VC</v>
      </c>
      <c r="F596" s="51">
        <v>2000</v>
      </c>
      <c r="H596" s="51" t="e">
        <v>#N/A</v>
      </c>
    </row>
    <row r="597" spans="1:8">
      <c r="A597" s="57" t="s">
        <v>1298</v>
      </c>
      <c r="B597" s="115" t="s">
        <v>1299</v>
      </c>
      <c r="C597" s="57" t="s">
        <v>1300</v>
      </c>
      <c r="D597" s="59" t="s">
        <v>213</v>
      </c>
      <c r="E597" s="60" t="str">
        <f ca="1" t="shared" si="9"/>
        <v>VC</v>
      </c>
      <c r="F597" s="51">
        <v>2000</v>
      </c>
      <c r="H597" s="51" t="e">
        <v>#N/A</v>
      </c>
    </row>
    <row r="598" spans="1:8">
      <c r="A598" s="57" t="s">
        <v>1301</v>
      </c>
      <c r="B598" s="115" t="s">
        <v>1302</v>
      </c>
      <c r="C598" s="57" t="s">
        <v>1303</v>
      </c>
      <c r="D598" s="59" t="s">
        <v>213</v>
      </c>
      <c r="E598" s="60" t="str">
        <f ca="1" t="shared" si="9"/>
        <v>VC</v>
      </c>
      <c r="F598" s="51">
        <v>2000</v>
      </c>
      <c r="H598" s="51" t="e">
        <v>#N/A</v>
      </c>
    </row>
    <row r="599" spans="1:8">
      <c r="A599" s="57" t="s">
        <v>1304</v>
      </c>
      <c r="B599" s="115" t="s">
        <v>1305</v>
      </c>
      <c r="C599" s="57" t="s">
        <v>1306</v>
      </c>
      <c r="D599" s="59" t="s">
        <v>213</v>
      </c>
      <c r="E599" s="60" t="str">
        <f ca="1" t="shared" si="9"/>
        <v>VC</v>
      </c>
      <c r="F599" s="51">
        <v>2000</v>
      </c>
      <c r="H599" s="51" t="e">
        <v>#N/A</v>
      </c>
    </row>
    <row r="600" spans="1:8">
      <c r="A600" s="57" t="s">
        <v>1307</v>
      </c>
      <c r="B600" s="115" t="s">
        <v>1308</v>
      </c>
      <c r="C600" s="57" t="s">
        <v>1309</v>
      </c>
      <c r="D600" s="59" t="s">
        <v>213</v>
      </c>
      <c r="E600" s="60" t="str">
        <f ca="1" t="shared" si="9"/>
        <v>VC</v>
      </c>
      <c r="F600" s="51">
        <v>2000</v>
      </c>
      <c r="H600" s="51" t="e">
        <v>#N/A</v>
      </c>
    </row>
    <row r="601" spans="1:8">
      <c r="A601" s="57" t="s">
        <v>1310</v>
      </c>
      <c r="B601" s="115" t="s">
        <v>1311</v>
      </c>
      <c r="C601" s="57" t="s">
        <v>1312</v>
      </c>
      <c r="D601" s="59" t="s">
        <v>1176</v>
      </c>
      <c r="E601" s="60" t="str">
        <f ca="1" t="shared" si="9"/>
        <v>VC</v>
      </c>
      <c r="F601" s="51">
        <v>2000</v>
      </c>
      <c r="H601" s="51">
        <v>0</v>
      </c>
    </row>
    <row r="602" spans="1:8">
      <c r="A602" s="57" t="s">
        <v>1313</v>
      </c>
      <c r="B602" s="115" t="s">
        <v>1314</v>
      </c>
      <c r="C602" s="57" t="s">
        <v>1315</v>
      </c>
      <c r="D602" s="59" t="s">
        <v>1176</v>
      </c>
      <c r="E602" s="60" t="str">
        <f ca="1" t="shared" si="9"/>
        <v>VC</v>
      </c>
      <c r="F602" s="51">
        <v>2000</v>
      </c>
      <c r="H602" s="51" t="e">
        <v>#N/A</v>
      </c>
    </row>
    <row r="603" spans="1:8">
      <c r="A603" s="57" t="s">
        <v>1316</v>
      </c>
      <c r="B603" s="115" t="s">
        <v>1317</v>
      </c>
      <c r="C603" s="57" t="s">
        <v>1318</v>
      </c>
      <c r="D603" s="59" t="s">
        <v>1176</v>
      </c>
      <c r="E603" s="60" t="str">
        <f ca="1" t="shared" si="9"/>
        <v>VC</v>
      </c>
      <c r="F603" s="51">
        <v>2000</v>
      </c>
      <c r="H603" s="51" t="e">
        <v>#N/A</v>
      </c>
    </row>
    <row r="604" spans="1:8">
      <c r="A604" s="57" t="s">
        <v>1319</v>
      </c>
      <c r="B604" s="115" t="s">
        <v>1320</v>
      </c>
      <c r="C604" s="57" t="s">
        <v>1321</v>
      </c>
      <c r="D604" s="59" t="s">
        <v>1176</v>
      </c>
      <c r="E604" s="60" t="str">
        <f ca="1" t="shared" si="9"/>
        <v>VC</v>
      </c>
      <c r="F604" s="51">
        <v>2000</v>
      </c>
      <c r="H604" s="51" t="e">
        <v>#N/A</v>
      </c>
    </row>
    <row r="605" spans="1:8">
      <c r="A605" s="57" t="s">
        <v>1322</v>
      </c>
      <c r="B605" s="115" t="s">
        <v>1323</v>
      </c>
      <c r="C605" s="57" t="s">
        <v>1324</v>
      </c>
      <c r="D605" s="59" t="s">
        <v>600</v>
      </c>
      <c r="E605" s="60" t="str">
        <f ca="1" t="shared" si="9"/>
        <v>VC</v>
      </c>
      <c r="F605" s="51">
        <v>2000</v>
      </c>
      <c r="H605" s="51">
        <v>0</v>
      </c>
    </row>
    <row r="606" spans="1:8">
      <c r="A606" s="57" t="s">
        <v>1325</v>
      </c>
      <c r="B606" s="115" t="s">
        <v>1326</v>
      </c>
      <c r="C606" s="57" t="s">
        <v>1327</v>
      </c>
      <c r="D606" s="59" t="s">
        <v>600</v>
      </c>
      <c r="E606" s="60" t="str">
        <f ca="1" t="shared" si="9"/>
        <v>VC</v>
      </c>
      <c r="F606" s="51">
        <v>2000</v>
      </c>
      <c r="H606" s="51" t="e">
        <v>#N/A</v>
      </c>
    </row>
    <row r="607" spans="1:8">
      <c r="A607" s="57" t="s">
        <v>1328</v>
      </c>
      <c r="B607" s="115" t="s">
        <v>1329</v>
      </c>
      <c r="C607" s="57" t="s">
        <v>1330</v>
      </c>
      <c r="D607" s="59" t="s">
        <v>600</v>
      </c>
      <c r="E607" s="60" t="str">
        <f ca="1" t="shared" si="9"/>
        <v>VC</v>
      </c>
      <c r="F607" s="51">
        <v>2000</v>
      </c>
      <c r="H607" s="51" t="e">
        <v>#N/A</v>
      </c>
    </row>
    <row r="608" spans="1:8">
      <c r="A608" s="57" t="s">
        <v>1331</v>
      </c>
      <c r="B608" s="115" t="s">
        <v>1332</v>
      </c>
      <c r="C608" s="57" t="s">
        <v>1333</v>
      </c>
      <c r="D608" s="59" t="s">
        <v>600</v>
      </c>
      <c r="E608" s="60" t="str">
        <f ca="1" t="shared" si="9"/>
        <v>VC</v>
      </c>
      <c r="F608" s="51">
        <v>2000</v>
      </c>
      <c r="H608" s="51" t="e">
        <v>#N/A</v>
      </c>
    </row>
    <row r="609" s="51" customFormat="1" spans="1:8">
      <c r="A609" s="57" t="s">
        <v>1334</v>
      </c>
      <c r="B609" s="115" t="s">
        <v>1335</v>
      </c>
      <c r="C609" s="57" t="s">
        <v>1336</v>
      </c>
      <c r="D609" s="59" t="s">
        <v>600</v>
      </c>
      <c r="E609" s="60" t="str">
        <f ca="1" t="shared" si="9"/>
        <v>VC</v>
      </c>
      <c r="F609" s="51">
        <v>2000</v>
      </c>
      <c r="H609" s="51" t="e">
        <v>#N/A</v>
      </c>
    </row>
    <row r="610" s="51" customFormat="1" spans="1:8">
      <c r="A610" s="57" t="s">
        <v>1337</v>
      </c>
      <c r="B610" s="115" t="s">
        <v>1338</v>
      </c>
      <c r="C610" s="57" t="s">
        <v>1339</v>
      </c>
      <c r="D610" s="59" t="s">
        <v>600</v>
      </c>
      <c r="E610" s="60" t="str">
        <f ca="1" t="shared" si="9"/>
        <v>VC</v>
      </c>
      <c r="F610" s="51">
        <v>2000</v>
      </c>
      <c r="H610" s="51" t="e">
        <v>#N/A</v>
      </c>
    </row>
    <row r="611" s="51" customFormat="1" spans="1:8">
      <c r="A611" s="57" t="s">
        <v>1340</v>
      </c>
      <c r="B611" s="115" t="s">
        <v>1341</v>
      </c>
      <c r="C611" s="57" t="s">
        <v>1342</v>
      </c>
      <c r="D611" s="59" t="s">
        <v>600</v>
      </c>
      <c r="E611" s="60" t="str">
        <f ca="1" t="shared" si="9"/>
        <v>VC</v>
      </c>
      <c r="F611" s="51">
        <v>2000</v>
      </c>
      <c r="H611" s="51" t="e">
        <v>#N/A</v>
      </c>
    </row>
    <row r="612" s="51" customFormat="1" spans="1:8">
      <c r="A612" s="57" t="s">
        <v>1343</v>
      </c>
      <c r="B612" s="115" t="s">
        <v>1344</v>
      </c>
      <c r="C612" s="57" t="s">
        <v>1345</v>
      </c>
      <c r="D612" s="59" t="s">
        <v>600</v>
      </c>
      <c r="E612" s="60" t="str">
        <f ca="1" t="shared" si="9"/>
        <v>VC</v>
      </c>
      <c r="F612" s="51">
        <v>2000</v>
      </c>
      <c r="H612" s="51" t="e">
        <v>#N/A</v>
      </c>
    </row>
    <row r="613" s="51" customFormat="1" spans="1:8">
      <c r="A613" s="57" t="s">
        <v>1346</v>
      </c>
      <c r="B613" s="115" t="s">
        <v>1347</v>
      </c>
      <c r="C613" s="57" t="s">
        <v>1348</v>
      </c>
      <c r="D613" s="59" t="s">
        <v>600</v>
      </c>
      <c r="E613" s="60" t="str">
        <f ca="1" t="shared" si="9"/>
        <v>VC</v>
      </c>
      <c r="F613" s="51">
        <v>2000</v>
      </c>
      <c r="H613" s="51" t="e">
        <v>#N/A</v>
      </c>
    </row>
    <row r="614" s="51" customFormat="1" spans="1:8">
      <c r="A614" s="57" t="s">
        <v>1349</v>
      </c>
      <c r="B614" s="115" t="s">
        <v>1350</v>
      </c>
      <c r="C614" s="57" t="s">
        <v>1351</v>
      </c>
      <c r="D614" s="59" t="s">
        <v>600</v>
      </c>
      <c r="E614" s="60" t="str">
        <f ca="1" t="shared" si="9"/>
        <v>VC</v>
      </c>
      <c r="F614" s="51">
        <v>2000</v>
      </c>
      <c r="H614" s="51" t="e">
        <v>#N/A</v>
      </c>
    </row>
    <row r="615" s="51" customFormat="1" spans="1:8">
      <c r="A615" s="57" t="s">
        <v>1352</v>
      </c>
      <c r="B615" s="115" t="s">
        <v>1353</v>
      </c>
      <c r="C615" s="57" t="s">
        <v>1354</v>
      </c>
      <c r="D615" s="59" t="s">
        <v>600</v>
      </c>
      <c r="E615" s="60" t="str">
        <f ca="1" t="shared" si="9"/>
        <v>VC</v>
      </c>
      <c r="F615" s="51">
        <v>2000</v>
      </c>
      <c r="H615" s="51" t="e">
        <v>#N/A</v>
      </c>
    </row>
    <row r="616" s="51" customFormat="1" spans="1:8">
      <c r="A616" s="57" t="s">
        <v>1355</v>
      </c>
      <c r="B616" s="115" t="s">
        <v>1356</v>
      </c>
      <c r="C616" s="57" t="s">
        <v>1357</v>
      </c>
      <c r="D616" s="59" t="s">
        <v>600</v>
      </c>
      <c r="E616" s="60" t="str">
        <f ca="1" t="shared" si="9"/>
        <v>VC</v>
      </c>
      <c r="F616" s="51">
        <v>2000</v>
      </c>
      <c r="H616" s="51" t="e">
        <v>#N/A</v>
      </c>
    </row>
    <row r="617" spans="1:8">
      <c r="A617" s="57" t="s">
        <v>1358</v>
      </c>
      <c r="B617" s="115" t="s">
        <v>1359</v>
      </c>
      <c r="C617" s="57" t="s">
        <v>1360</v>
      </c>
      <c r="D617" s="59" t="s">
        <v>600</v>
      </c>
      <c r="E617" s="60" t="str">
        <f ca="1" t="shared" si="9"/>
        <v>VC</v>
      </c>
      <c r="F617" s="51">
        <v>2000</v>
      </c>
      <c r="H617" s="51">
        <v>0</v>
      </c>
    </row>
    <row r="618" spans="1:8">
      <c r="A618" s="57" t="s">
        <v>1361</v>
      </c>
      <c r="B618" s="115" t="s">
        <v>1362</v>
      </c>
      <c r="C618" s="57" t="s">
        <v>1363</v>
      </c>
      <c r="D618" s="59" t="s">
        <v>600</v>
      </c>
      <c r="E618" s="60" t="str">
        <f ca="1" t="shared" si="9"/>
        <v>VC</v>
      </c>
      <c r="F618" s="51">
        <v>2000</v>
      </c>
      <c r="H618" s="51" t="e">
        <v>#N/A</v>
      </c>
    </row>
    <row r="619" spans="1:8">
      <c r="A619" s="57" t="s">
        <v>1364</v>
      </c>
      <c r="B619" s="115" t="s">
        <v>1365</v>
      </c>
      <c r="C619" s="57" t="s">
        <v>1366</v>
      </c>
      <c r="D619" s="59" t="s">
        <v>600</v>
      </c>
      <c r="E619" s="60" t="str">
        <f ca="1" t="shared" si="9"/>
        <v>VC</v>
      </c>
      <c r="F619" s="51">
        <v>2000</v>
      </c>
      <c r="H619" s="51" t="e">
        <v>#N/A</v>
      </c>
    </row>
    <row r="620" spans="1:8">
      <c r="A620" s="57" t="s">
        <v>1367</v>
      </c>
      <c r="B620" s="115" t="s">
        <v>1368</v>
      </c>
      <c r="C620" s="57" t="s">
        <v>1369</v>
      </c>
      <c r="D620" s="59" t="s">
        <v>600</v>
      </c>
      <c r="E620" s="60" t="str">
        <f ca="1" t="shared" si="9"/>
        <v>VC</v>
      </c>
      <c r="F620" s="51">
        <v>2000</v>
      </c>
      <c r="H620" s="51" t="e">
        <v>#N/A</v>
      </c>
    </row>
    <row r="621" spans="1:8">
      <c r="A621" s="57" t="s">
        <v>1370</v>
      </c>
      <c r="B621" s="115" t="s">
        <v>1227</v>
      </c>
      <c r="C621" s="57" t="s">
        <v>1371</v>
      </c>
      <c r="D621" s="59" t="s">
        <v>1176</v>
      </c>
      <c r="E621" s="60" t="str">
        <f ca="1" t="shared" si="9"/>
        <v>VC</v>
      </c>
      <c r="F621" s="51">
        <v>2000</v>
      </c>
      <c r="H621" s="51" t="e">
        <v>#N/A</v>
      </c>
    </row>
    <row r="622" spans="1:8">
      <c r="A622" s="57" t="s">
        <v>1372</v>
      </c>
      <c r="B622" s="115" t="s">
        <v>1230</v>
      </c>
      <c r="C622" s="57" t="s">
        <v>1373</v>
      </c>
      <c r="D622" s="59" t="s">
        <v>1176</v>
      </c>
      <c r="E622" s="60" t="str">
        <f ca="1" t="shared" si="9"/>
        <v>VC</v>
      </c>
      <c r="F622" s="51">
        <v>2000</v>
      </c>
      <c r="H622" s="51" t="e">
        <v>#N/A</v>
      </c>
    </row>
    <row r="623" spans="1:8">
      <c r="A623" s="57" t="s">
        <v>1374</v>
      </c>
      <c r="B623" s="115" t="s">
        <v>1233</v>
      </c>
      <c r="C623" s="57" t="s">
        <v>1375</v>
      </c>
      <c r="D623" s="59" t="s">
        <v>1176</v>
      </c>
      <c r="E623" s="60" t="str">
        <f ca="1" t="shared" si="9"/>
        <v>VC</v>
      </c>
      <c r="F623" s="51">
        <v>2000</v>
      </c>
      <c r="H623" s="51" t="e">
        <v>#N/A</v>
      </c>
    </row>
    <row r="624" spans="1:8">
      <c r="A624" s="57" t="s">
        <v>1376</v>
      </c>
      <c r="B624" s="115" t="s">
        <v>1236</v>
      </c>
      <c r="C624" s="57" t="s">
        <v>1377</v>
      </c>
      <c r="D624" s="59" t="s">
        <v>1176</v>
      </c>
      <c r="E624" s="60" t="str">
        <f ca="1" t="shared" si="9"/>
        <v>VC</v>
      </c>
      <c r="F624" s="51">
        <v>2000</v>
      </c>
      <c r="H624" s="51" t="e">
        <v>#N/A</v>
      </c>
    </row>
    <row r="625" spans="1:8">
      <c r="A625" s="57" t="s">
        <v>1378</v>
      </c>
      <c r="B625" s="115" t="s">
        <v>1379</v>
      </c>
      <c r="C625" s="57" t="s">
        <v>1380</v>
      </c>
      <c r="D625" s="59" t="s">
        <v>1176</v>
      </c>
      <c r="E625" s="60" t="str">
        <f ca="1" t="shared" si="9"/>
        <v>BO</v>
      </c>
      <c r="F625" s="51">
        <v>2000</v>
      </c>
      <c r="H625" s="51">
        <v>0</v>
      </c>
    </row>
    <row r="626" spans="1:8">
      <c r="A626" s="57" t="s">
        <v>1381</v>
      </c>
      <c r="B626" s="115" t="s">
        <v>1382</v>
      </c>
      <c r="C626" s="57" t="s">
        <v>1383</v>
      </c>
      <c r="D626" s="59" t="s">
        <v>1176</v>
      </c>
      <c r="E626" s="60" t="str">
        <f ca="1" t="shared" si="9"/>
        <v>BO</v>
      </c>
      <c r="F626" s="51">
        <v>2000</v>
      </c>
      <c r="H626" s="51">
        <v>0</v>
      </c>
    </row>
    <row r="627" spans="1:8">
      <c r="A627" s="57" t="s">
        <v>1384</v>
      </c>
      <c r="B627" s="115" t="s">
        <v>1385</v>
      </c>
      <c r="C627" s="57" t="s">
        <v>1386</v>
      </c>
      <c r="D627" s="59" t="s">
        <v>1176</v>
      </c>
      <c r="E627" s="60" t="str">
        <f ca="1" t="shared" si="9"/>
        <v>BO</v>
      </c>
      <c r="F627" s="51">
        <v>2000</v>
      </c>
      <c r="H627" s="51">
        <v>0.2</v>
      </c>
    </row>
    <row r="628" spans="1:8">
      <c r="A628" s="57" t="s">
        <v>1387</v>
      </c>
      <c r="B628" s="115" t="s">
        <v>1388</v>
      </c>
      <c r="C628" s="57" t="s">
        <v>1389</v>
      </c>
      <c r="D628" s="59" t="s">
        <v>1176</v>
      </c>
      <c r="E628" s="60" t="str">
        <f ca="1" t="shared" si="9"/>
        <v>BO</v>
      </c>
      <c r="F628" s="51">
        <v>2000</v>
      </c>
      <c r="H628" s="51">
        <v>0</v>
      </c>
    </row>
    <row r="629" spans="1:8">
      <c r="A629" s="57" t="s">
        <v>1390</v>
      </c>
      <c r="B629" s="115" t="s">
        <v>1391</v>
      </c>
      <c r="C629" s="57" t="s">
        <v>1392</v>
      </c>
      <c r="D629" s="59" t="s">
        <v>1176</v>
      </c>
      <c r="E629" s="60" t="str">
        <f ca="1" t="shared" si="9"/>
        <v>BO</v>
      </c>
      <c r="F629" s="51">
        <v>2000</v>
      </c>
      <c r="H629" s="51">
        <v>0</v>
      </c>
    </row>
    <row r="630" spans="1:8">
      <c r="A630" s="57" t="s">
        <v>1393</v>
      </c>
      <c r="B630" s="115" t="s">
        <v>1394</v>
      </c>
      <c r="C630" s="57" t="s">
        <v>1395</v>
      </c>
      <c r="D630" s="59" t="s">
        <v>1176</v>
      </c>
      <c r="E630" s="60" t="str">
        <f ca="1" t="shared" si="9"/>
        <v>BO</v>
      </c>
      <c r="F630" s="51">
        <v>2000</v>
      </c>
      <c r="H630" s="51">
        <v>0</v>
      </c>
    </row>
    <row r="631" spans="1:8">
      <c r="A631" s="57" t="s">
        <v>1396</v>
      </c>
      <c r="B631" s="115" t="s">
        <v>1397</v>
      </c>
      <c r="C631" s="57" t="s">
        <v>1398</v>
      </c>
      <c r="D631" s="59" t="s">
        <v>1176</v>
      </c>
      <c r="E631" s="60" t="str">
        <f ca="1" t="shared" si="9"/>
        <v>BO</v>
      </c>
      <c r="F631" s="51">
        <v>2000</v>
      </c>
      <c r="H631" s="51" t="e">
        <v>#N/A</v>
      </c>
    </row>
    <row r="632" spans="1:8">
      <c r="A632" s="57" t="s">
        <v>1399</v>
      </c>
      <c r="B632" s="115" t="s">
        <v>1400</v>
      </c>
      <c r="C632" s="57" t="s">
        <v>1401</v>
      </c>
      <c r="D632" s="59" t="s">
        <v>1176</v>
      </c>
      <c r="E632" s="60" t="str">
        <f ca="1" t="shared" si="9"/>
        <v>BO</v>
      </c>
      <c r="F632" s="51">
        <v>2000</v>
      </c>
      <c r="H632" s="51" t="e">
        <v>#N/A</v>
      </c>
    </row>
    <row r="633" spans="1:8">
      <c r="A633" s="57" t="s">
        <v>1402</v>
      </c>
      <c r="B633" s="115" t="s">
        <v>1403</v>
      </c>
      <c r="C633" s="57" t="s">
        <v>1404</v>
      </c>
      <c r="D633" s="59" t="s">
        <v>1176</v>
      </c>
      <c r="E633" s="60" t="str">
        <f ca="1" t="shared" si="9"/>
        <v>BO</v>
      </c>
      <c r="F633" s="51">
        <v>2000</v>
      </c>
      <c r="H633" s="51">
        <v>0</v>
      </c>
    </row>
    <row r="634" spans="1:8">
      <c r="A634" s="57" t="s">
        <v>1405</v>
      </c>
      <c r="B634" s="115" t="s">
        <v>1406</v>
      </c>
      <c r="C634" s="57" t="s">
        <v>1407</v>
      </c>
      <c r="D634" s="59" t="s">
        <v>600</v>
      </c>
      <c r="E634" s="60" t="str">
        <f ca="1" t="shared" si="9"/>
        <v>BO</v>
      </c>
      <c r="F634" s="51">
        <v>2000</v>
      </c>
      <c r="H634" s="51">
        <v>0</v>
      </c>
    </row>
    <row r="635" spans="1:8">
      <c r="A635" s="57" t="s">
        <v>1408</v>
      </c>
      <c r="B635" s="115" t="s">
        <v>1409</v>
      </c>
      <c r="C635" s="57" t="s">
        <v>1410</v>
      </c>
      <c r="D635" s="59" t="s">
        <v>600</v>
      </c>
      <c r="E635" s="60" t="str">
        <f ca="1" t="shared" si="9"/>
        <v>BO</v>
      </c>
      <c r="F635" s="51">
        <v>2000</v>
      </c>
      <c r="H635" s="51">
        <v>0</v>
      </c>
    </row>
    <row r="636" spans="1:8">
      <c r="A636" s="57" t="s">
        <v>1411</v>
      </c>
      <c r="B636" s="115" t="s">
        <v>1412</v>
      </c>
      <c r="C636" s="57" t="s">
        <v>1413</v>
      </c>
      <c r="D636" s="59" t="s">
        <v>600</v>
      </c>
      <c r="E636" s="60" t="str">
        <f ca="1" t="shared" si="9"/>
        <v>BO</v>
      </c>
      <c r="F636" s="51">
        <v>2000</v>
      </c>
      <c r="H636" s="51" t="e">
        <v>#N/A</v>
      </c>
    </row>
    <row r="637" spans="1:8">
      <c r="A637" s="57" t="s">
        <v>1414</v>
      </c>
      <c r="B637" s="115" t="s">
        <v>1415</v>
      </c>
      <c r="C637" s="57" t="s">
        <v>1416</v>
      </c>
      <c r="D637" s="59" t="s">
        <v>213</v>
      </c>
      <c r="E637" s="60" t="str">
        <f ca="1" t="shared" si="9"/>
        <v>BO</v>
      </c>
      <c r="F637" s="51">
        <v>2000</v>
      </c>
      <c r="H637" s="51">
        <v>42</v>
      </c>
    </row>
    <row r="638" spans="1:8">
      <c r="A638" s="57" t="s">
        <v>1417</v>
      </c>
      <c r="B638" s="115" t="s">
        <v>1418</v>
      </c>
      <c r="C638" s="57" t="s">
        <v>1419</v>
      </c>
      <c r="D638" s="59" t="s">
        <v>241</v>
      </c>
      <c r="E638" s="60" t="str">
        <f ca="1" t="shared" si="9"/>
        <v>KT</v>
      </c>
      <c r="F638" s="51">
        <v>2000</v>
      </c>
      <c r="H638" s="51">
        <v>3.36</v>
      </c>
    </row>
    <row r="639" spans="1:8">
      <c r="A639" s="57" t="s">
        <v>1420</v>
      </c>
      <c r="B639" s="115" t="s">
        <v>1421</v>
      </c>
      <c r="C639" s="57" t="s">
        <v>1422</v>
      </c>
      <c r="D639" s="59" t="s">
        <v>241</v>
      </c>
      <c r="E639" s="60" t="str">
        <f ca="1" t="shared" si="9"/>
        <v>KT</v>
      </c>
      <c r="F639" s="51">
        <v>2000</v>
      </c>
      <c r="H639" s="51" t="s">
        <v>241</v>
      </c>
    </row>
    <row r="640" spans="1:8">
      <c r="A640" s="57" t="s">
        <v>1423</v>
      </c>
      <c r="B640" s="119" t="s">
        <v>1424</v>
      </c>
      <c r="C640" s="57" t="s">
        <v>1425</v>
      </c>
      <c r="D640" s="59" t="s">
        <v>512</v>
      </c>
      <c r="E640" s="60" t="str">
        <f ca="1" t="shared" si="9"/>
        <v>DC</v>
      </c>
      <c r="F640" s="51">
        <v>2000</v>
      </c>
      <c r="H640" s="51">
        <v>1</v>
      </c>
    </row>
    <row r="641" spans="1:8">
      <c r="A641" s="57" t="s">
        <v>1426</v>
      </c>
      <c r="B641" s="115" t="s">
        <v>1427</v>
      </c>
      <c r="C641" s="57" t="s">
        <v>1428</v>
      </c>
      <c r="D641" s="59" t="s">
        <v>512</v>
      </c>
      <c r="E641" s="60" t="str">
        <f ca="1" t="shared" si="9"/>
        <v>DC</v>
      </c>
      <c r="F641" s="51">
        <v>2000</v>
      </c>
      <c r="H641" s="51" t="e">
        <v>#N/A</v>
      </c>
    </row>
    <row r="642" spans="1:8">
      <c r="A642" s="57" t="s">
        <v>1429</v>
      </c>
      <c r="B642" s="115" t="s">
        <v>1430</v>
      </c>
      <c r="C642" s="57" t="s">
        <v>1431</v>
      </c>
      <c r="D642" s="59" t="s">
        <v>512</v>
      </c>
      <c r="E642" s="60" t="str">
        <f ca="1" t="shared" si="9"/>
        <v>DC</v>
      </c>
      <c r="F642" s="51">
        <v>2000</v>
      </c>
      <c r="H642" s="51" t="s">
        <v>512</v>
      </c>
    </row>
    <row r="643" spans="1:8">
      <c r="A643" s="57" t="s">
        <v>1432</v>
      </c>
      <c r="B643" s="115" t="s">
        <v>1433</v>
      </c>
      <c r="C643" s="57" t="s">
        <v>1434</v>
      </c>
      <c r="D643" s="59" t="s">
        <v>507</v>
      </c>
      <c r="E643" s="60" t="str">
        <f ca="1" t="shared" ref="E643:E706" si="10">LEFT(A643,2)</f>
        <v>C8</v>
      </c>
      <c r="F643" s="51">
        <v>2000</v>
      </c>
      <c r="H643" s="51" t="e">
        <v>#N/A</v>
      </c>
    </row>
    <row r="644" spans="1:8">
      <c r="A644" s="57" t="s">
        <v>1435</v>
      </c>
      <c r="B644" s="115" t="s">
        <v>1436</v>
      </c>
      <c r="C644" s="57" t="s">
        <v>1437</v>
      </c>
      <c r="D644" s="59" t="s">
        <v>507</v>
      </c>
      <c r="E644" s="60" t="str">
        <f ca="1" t="shared" si="10"/>
        <v>C1</v>
      </c>
      <c r="F644" s="51">
        <v>2000</v>
      </c>
      <c r="H644" s="51" t="e">
        <v>#N/A</v>
      </c>
    </row>
    <row r="645" spans="1:8">
      <c r="A645" s="57" t="s">
        <v>1438</v>
      </c>
      <c r="B645" s="115" t="s">
        <v>1439</v>
      </c>
      <c r="C645" s="57" t="s">
        <v>1440</v>
      </c>
      <c r="D645" s="59" t="s">
        <v>507</v>
      </c>
      <c r="E645" s="60" t="str">
        <f ca="1" t="shared" si="10"/>
        <v>C1</v>
      </c>
      <c r="F645" s="51">
        <v>2000</v>
      </c>
      <c r="H645" s="51" t="e">
        <v>#N/A</v>
      </c>
    </row>
    <row r="646" spans="1:8">
      <c r="A646" s="57" t="s">
        <v>1441</v>
      </c>
      <c r="B646" s="115" t="s">
        <v>1439</v>
      </c>
      <c r="C646" s="57" t="s">
        <v>1442</v>
      </c>
      <c r="D646" s="59" t="s">
        <v>507</v>
      </c>
      <c r="E646" s="60" t="str">
        <f ca="1" t="shared" si="10"/>
        <v>C1</v>
      </c>
      <c r="F646" s="51">
        <v>2000</v>
      </c>
      <c r="H646" s="51">
        <v>1</v>
      </c>
    </row>
    <row r="647" spans="1:8">
      <c r="A647" s="116" t="s">
        <v>1443</v>
      </c>
      <c r="B647" s="115" t="s">
        <v>1444</v>
      </c>
      <c r="C647" s="57" t="s">
        <v>1445</v>
      </c>
      <c r="D647" s="59" t="s">
        <v>507</v>
      </c>
      <c r="E647" s="60" t="str">
        <f ca="1" t="shared" si="10"/>
        <v>C1</v>
      </c>
      <c r="F647" s="51">
        <v>2000</v>
      </c>
      <c r="H647" s="51" t="e">
        <v>#N/A</v>
      </c>
    </row>
    <row r="648" spans="1:8">
      <c r="A648" s="57" t="s">
        <v>1446</v>
      </c>
      <c r="B648" s="115" t="s">
        <v>1447</v>
      </c>
      <c r="C648" s="57" t="s">
        <v>1448</v>
      </c>
      <c r="D648" s="59" t="s">
        <v>507</v>
      </c>
      <c r="E648" s="60" t="str">
        <f ca="1" t="shared" si="10"/>
        <v>C2</v>
      </c>
      <c r="F648" s="51">
        <v>2000</v>
      </c>
      <c r="H648" s="51" t="e">
        <v>#N/A</v>
      </c>
    </row>
    <row r="649" spans="1:8">
      <c r="A649" s="57" t="s">
        <v>1449</v>
      </c>
      <c r="B649" s="119" t="s">
        <v>1450</v>
      </c>
      <c r="C649" s="57" t="s">
        <v>1451</v>
      </c>
      <c r="D649" s="59" t="s">
        <v>507</v>
      </c>
      <c r="E649" s="60" t="str">
        <f ca="1" t="shared" si="10"/>
        <v>C8</v>
      </c>
      <c r="F649" s="51">
        <v>2000</v>
      </c>
      <c r="H649" s="51">
        <v>1</v>
      </c>
    </row>
    <row r="650" spans="1:8">
      <c r="A650" s="57" t="s">
        <v>1452</v>
      </c>
      <c r="B650" s="119" t="s">
        <v>1453</v>
      </c>
      <c r="C650" s="57" t="s">
        <v>1454</v>
      </c>
      <c r="D650" s="59" t="s">
        <v>507</v>
      </c>
      <c r="E650" s="60" t="str">
        <f ca="1" t="shared" si="10"/>
        <v>C1</v>
      </c>
      <c r="F650" s="51">
        <v>2000</v>
      </c>
      <c r="H650" s="51">
        <v>1</v>
      </c>
    </row>
    <row r="651" spans="1:8">
      <c r="A651" s="57" t="s">
        <v>1455</v>
      </c>
      <c r="B651" s="119" t="s">
        <v>1456</v>
      </c>
      <c r="C651" s="57" t="s">
        <v>1457</v>
      </c>
      <c r="D651" s="59" t="s">
        <v>507</v>
      </c>
      <c r="E651" s="60" t="str">
        <f ca="1" t="shared" si="10"/>
        <v>C1</v>
      </c>
      <c r="F651" s="51">
        <v>2000</v>
      </c>
      <c r="H651" s="51">
        <v>1</v>
      </c>
    </row>
    <row r="652" spans="1:8">
      <c r="A652" s="57" t="s">
        <v>1458</v>
      </c>
      <c r="B652" s="115" t="s">
        <v>1456</v>
      </c>
      <c r="C652" s="57" t="s">
        <v>1459</v>
      </c>
      <c r="D652" s="59" t="s">
        <v>507</v>
      </c>
      <c r="E652" s="60" t="str">
        <f ca="1" t="shared" si="10"/>
        <v>C1</v>
      </c>
      <c r="F652" s="51">
        <v>2000</v>
      </c>
      <c r="H652" s="51">
        <v>1</v>
      </c>
    </row>
    <row r="653" spans="1:8">
      <c r="A653" s="116" t="s">
        <v>1460</v>
      </c>
      <c r="B653" s="115" t="s">
        <v>1461</v>
      </c>
      <c r="C653" s="57" t="s">
        <v>1462</v>
      </c>
      <c r="D653" s="59" t="s">
        <v>507</v>
      </c>
      <c r="E653" s="60" t="str">
        <f ca="1" t="shared" si="10"/>
        <v>C1</v>
      </c>
      <c r="F653" s="51">
        <v>2000</v>
      </c>
      <c r="H653" s="51">
        <v>1</v>
      </c>
    </row>
    <row r="654" spans="1:8">
      <c r="A654" s="57" t="s">
        <v>1463</v>
      </c>
      <c r="B654" s="115" t="s">
        <v>1464</v>
      </c>
      <c r="C654" s="57" t="s">
        <v>1465</v>
      </c>
      <c r="D654" s="59" t="s">
        <v>507</v>
      </c>
      <c r="E654" s="60" t="str">
        <f ca="1" t="shared" si="10"/>
        <v>C2</v>
      </c>
      <c r="F654" s="51">
        <v>2000</v>
      </c>
      <c r="H654" s="51">
        <v>1</v>
      </c>
    </row>
    <row r="655" spans="1:8">
      <c r="A655" s="57" t="s">
        <v>1466</v>
      </c>
      <c r="B655" s="115" t="s">
        <v>1467</v>
      </c>
      <c r="C655" s="57" t="s">
        <v>1468</v>
      </c>
      <c r="D655" s="59" t="s">
        <v>507</v>
      </c>
      <c r="E655" s="60" t="str">
        <f ca="1" t="shared" si="10"/>
        <v>C1</v>
      </c>
      <c r="F655" s="51">
        <v>2000</v>
      </c>
      <c r="H655" s="51" t="s">
        <v>507</v>
      </c>
    </row>
    <row r="656" spans="1:8">
      <c r="A656" s="57" t="s">
        <v>1469</v>
      </c>
      <c r="B656" s="115" t="s">
        <v>1467</v>
      </c>
      <c r="C656" s="57" t="s">
        <v>1470</v>
      </c>
      <c r="D656" s="59" t="s">
        <v>507</v>
      </c>
      <c r="E656" s="60" t="str">
        <f ca="1" t="shared" si="10"/>
        <v>C1</v>
      </c>
      <c r="F656" s="51">
        <v>2000</v>
      </c>
      <c r="H656" s="51" t="s">
        <v>507</v>
      </c>
    </row>
    <row r="657" s="51" customFormat="1" spans="1:8">
      <c r="A657" s="57" t="s">
        <v>1471</v>
      </c>
      <c r="B657" s="115" t="s">
        <v>1472</v>
      </c>
      <c r="C657" s="64" t="s">
        <v>1473</v>
      </c>
      <c r="D657" s="59" t="s">
        <v>57</v>
      </c>
      <c r="E657" s="60" t="str">
        <f ca="1" t="shared" si="10"/>
        <v>LX</v>
      </c>
      <c r="F657" s="51">
        <v>2000</v>
      </c>
      <c r="H657" s="51">
        <v>1</v>
      </c>
    </row>
    <row r="658" s="51" customFormat="1" spans="1:8">
      <c r="A658" s="57" t="s">
        <v>1474</v>
      </c>
      <c r="B658" s="115" t="s">
        <v>1475</v>
      </c>
      <c r="C658" s="64" t="s">
        <v>1476</v>
      </c>
      <c r="D658" s="59" t="s">
        <v>57</v>
      </c>
      <c r="E658" s="60" t="str">
        <f ca="1" t="shared" si="10"/>
        <v>LX</v>
      </c>
      <c r="F658" s="51">
        <v>2000</v>
      </c>
      <c r="H658" s="51">
        <v>1</v>
      </c>
    </row>
    <row r="659" s="51" customFormat="1" spans="1:8">
      <c r="A659" s="57" t="s">
        <v>1477</v>
      </c>
      <c r="B659" s="115" t="s">
        <v>1478</v>
      </c>
      <c r="C659" s="64" t="s">
        <v>1479</v>
      </c>
      <c r="D659" s="59" t="s">
        <v>57</v>
      </c>
      <c r="E659" s="60" t="str">
        <f ca="1" t="shared" si="10"/>
        <v>LX</v>
      </c>
      <c r="F659" s="51">
        <v>2000</v>
      </c>
      <c r="H659" s="51">
        <v>1</v>
      </c>
    </row>
    <row r="660" s="51" customFormat="1" spans="1:8">
      <c r="A660" s="57" t="s">
        <v>1480</v>
      </c>
      <c r="B660" s="115" t="s">
        <v>1481</v>
      </c>
      <c r="C660" s="64" t="s">
        <v>1482</v>
      </c>
      <c r="D660" s="59" t="s">
        <v>57</v>
      </c>
      <c r="E660" s="60" t="str">
        <f ca="1" t="shared" si="10"/>
        <v>LX</v>
      </c>
      <c r="F660" s="51">
        <v>2000</v>
      </c>
      <c r="H660" s="51">
        <v>1</v>
      </c>
    </row>
    <row r="661" s="51" customFormat="1" spans="1:8">
      <c r="A661" s="57" t="s">
        <v>1483</v>
      </c>
      <c r="B661" s="115" t="s">
        <v>1484</v>
      </c>
      <c r="C661" s="64" t="s">
        <v>1485</v>
      </c>
      <c r="D661" s="59" t="s">
        <v>57</v>
      </c>
      <c r="E661" s="60" t="str">
        <f ca="1" t="shared" si="10"/>
        <v>LX</v>
      </c>
      <c r="F661" s="51">
        <v>2000</v>
      </c>
      <c r="H661" s="51">
        <v>1</v>
      </c>
    </row>
    <row r="662" s="51" customFormat="1" spans="1:8">
      <c r="A662" s="57" t="s">
        <v>1486</v>
      </c>
      <c r="B662" s="115" t="s">
        <v>1487</v>
      </c>
      <c r="C662" s="64" t="s">
        <v>1488</v>
      </c>
      <c r="D662" s="59" t="s">
        <v>57</v>
      </c>
      <c r="E662" s="60" t="str">
        <f ca="1" t="shared" si="10"/>
        <v>LX</v>
      </c>
      <c r="F662" s="51">
        <v>2000</v>
      </c>
      <c r="H662" s="51">
        <v>1</v>
      </c>
    </row>
    <row r="663" s="51" customFormat="1" spans="1:8">
      <c r="A663" s="57" t="s">
        <v>1489</v>
      </c>
      <c r="B663" s="115" t="s">
        <v>1490</v>
      </c>
      <c r="C663" s="64" t="s">
        <v>1491</v>
      </c>
      <c r="D663" s="59" t="s">
        <v>57</v>
      </c>
      <c r="E663" s="60" t="str">
        <f ca="1" t="shared" si="10"/>
        <v>LX</v>
      </c>
      <c r="F663" s="51">
        <v>2000</v>
      </c>
      <c r="H663" s="51" t="e">
        <v>#N/A</v>
      </c>
    </row>
    <row r="664" s="51" customFormat="1" spans="1:8">
      <c r="A664" s="57" t="s">
        <v>1492</v>
      </c>
      <c r="B664" s="115" t="s">
        <v>1493</v>
      </c>
      <c r="C664" s="64" t="s">
        <v>1494</v>
      </c>
      <c r="D664" s="59" t="s">
        <v>57</v>
      </c>
      <c r="E664" s="60" t="str">
        <f ca="1" t="shared" si="10"/>
        <v>LX</v>
      </c>
      <c r="F664" s="51">
        <v>2000</v>
      </c>
      <c r="H664" s="51">
        <v>1</v>
      </c>
    </row>
    <row r="665" s="51" customFormat="1" spans="1:8">
      <c r="A665" s="57" t="s">
        <v>1495</v>
      </c>
      <c r="B665" s="115" t="s">
        <v>1496</v>
      </c>
      <c r="C665" s="64" t="s">
        <v>1497</v>
      </c>
      <c r="D665" s="59" t="s">
        <v>57</v>
      </c>
      <c r="E665" s="60" t="str">
        <f ca="1" t="shared" si="10"/>
        <v>LX</v>
      </c>
      <c r="F665" s="51">
        <v>2000</v>
      </c>
      <c r="H665" s="51" t="e">
        <v>#N/A</v>
      </c>
    </row>
    <row r="666" s="51" customFormat="1" spans="1:8">
      <c r="A666" s="57" t="s">
        <v>1498</v>
      </c>
      <c r="B666" s="115" t="s">
        <v>1499</v>
      </c>
      <c r="C666" s="64" t="s">
        <v>1500</v>
      </c>
      <c r="D666" s="59" t="s">
        <v>57</v>
      </c>
      <c r="E666" s="60" t="str">
        <f ca="1" t="shared" si="10"/>
        <v>LX</v>
      </c>
      <c r="F666" s="51">
        <v>2000</v>
      </c>
      <c r="H666" s="51" t="e">
        <v>#N/A</v>
      </c>
    </row>
    <row r="667" spans="1:8">
      <c r="A667" s="57" t="s">
        <v>1501</v>
      </c>
      <c r="B667" s="115" t="s">
        <v>1502</v>
      </c>
      <c r="C667" s="64" t="s">
        <v>1503</v>
      </c>
      <c r="D667" s="59" t="s">
        <v>27</v>
      </c>
      <c r="E667" s="60" t="str">
        <f ca="1" t="shared" si="10"/>
        <v>LD</v>
      </c>
      <c r="F667" s="51">
        <v>2000</v>
      </c>
      <c r="H667" s="51" t="s">
        <v>27</v>
      </c>
    </row>
    <row r="668" spans="1:8">
      <c r="A668" s="57" t="s">
        <v>1504</v>
      </c>
      <c r="B668" s="115" t="s">
        <v>1505</v>
      </c>
      <c r="C668" s="64" t="s">
        <v>1506</v>
      </c>
      <c r="D668" s="59" t="s">
        <v>27</v>
      </c>
      <c r="E668" s="60" t="str">
        <f ca="1" t="shared" si="10"/>
        <v>LD</v>
      </c>
      <c r="F668" s="51">
        <v>2000</v>
      </c>
      <c r="H668" s="51" t="e">
        <v>#N/A</v>
      </c>
    </row>
    <row r="669" spans="1:8">
      <c r="A669" s="57" t="s">
        <v>1507</v>
      </c>
      <c r="B669" s="115" t="s">
        <v>1508</v>
      </c>
      <c r="C669" s="64" t="s">
        <v>1509</v>
      </c>
      <c r="D669" s="59" t="s">
        <v>27</v>
      </c>
      <c r="E669" s="60" t="str">
        <f ca="1" t="shared" si="10"/>
        <v>LD</v>
      </c>
      <c r="F669" s="51">
        <v>2000</v>
      </c>
      <c r="H669" s="51" t="e">
        <v>#N/A</v>
      </c>
    </row>
    <row r="670" spans="1:8">
      <c r="A670" s="57" t="s">
        <v>1510</v>
      </c>
      <c r="B670" s="115" t="s">
        <v>1511</v>
      </c>
      <c r="C670" s="64" t="s">
        <v>1512</v>
      </c>
      <c r="D670" s="59" t="s">
        <v>27</v>
      </c>
      <c r="E670" s="60" t="str">
        <f ca="1" t="shared" si="10"/>
        <v>LD</v>
      </c>
      <c r="F670" s="51">
        <v>2000</v>
      </c>
      <c r="H670" s="51" t="e">
        <v>#N/A</v>
      </c>
    </row>
    <row r="671" spans="1:8">
      <c r="A671" s="57" t="s">
        <v>1513</v>
      </c>
      <c r="B671" s="115" t="s">
        <v>1514</v>
      </c>
      <c r="C671" s="64" t="s">
        <v>1515</v>
      </c>
      <c r="D671" s="59" t="s">
        <v>27</v>
      </c>
      <c r="E671" s="60" t="str">
        <f ca="1" t="shared" si="10"/>
        <v>LD</v>
      </c>
      <c r="F671" s="51">
        <v>2000</v>
      </c>
      <c r="H671" s="51" t="e">
        <v>#N/A</v>
      </c>
    </row>
    <row r="672" spans="1:8">
      <c r="A672" s="57" t="s">
        <v>1516</v>
      </c>
      <c r="B672" s="115" t="s">
        <v>1517</v>
      </c>
      <c r="C672" s="64" t="s">
        <v>1518</v>
      </c>
      <c r="D672" s="59" t="s">
        <v>27</v>
      </c>
      <c r="E672" s="60" t="str">
        <f ca="1" t="shared" si="10"/>
        <v>LD</v>
      </c>
      <c r="F672" s="51">
        <v>2000</v>
      </c>
      <c r="H672" s="51" t="e">
        <v>#N/A</v>
      </c>
    </row>
    <row r="673" spans="1:8">
      <c r="A673" s="57" t="s">
        <v>1519</v>
      </c>
      <c r="B673" s="115" t="s">
        <v>872</v>
      </c>
      <c r="C673" s="64" t="s">
        <v>873</v>
      </c>
      <c r="D673" s="59" t="s">
        <v>27</v>
      </c>
      <c r="E673" s="60" t="str">
        <f ca="1" t="shared" si="10"/>
        <v>XL</v>
      </c>
      <c r="F673" s="51">
        <v>2000</v>
      </c>
      <c r="H673" s="51">
        <v>1</v>
      </c>
    </row>
    <row r="674" s="51" customFormat="1" spans="1:8">
      <c r="A674" s="57" t="s">
        <v>1520</v>
      </c>
      <c r="B674" s="58"/>
      <c r="C674" s="64" t="s">
        <v>1521</v>
      </c>
      <c r="D674" s="59"/>
      <c r="E674" s="60" t="str">
        <f ca="1" t="shared" si="10"/>
        <v>LB</v>
      </c>
      <c r="F674" s="51">
        <v>2000</v>
      </c>
      <c r="H674" s="51">
        <v>0</v>
      </c>
    </row>
    <row r="675" s="51" customFormat="1" spans="1:8">
      <c r="A675" s="57" t="s">
        <v>1522</v>
      </c>
      <c r="B675" s="58"/>
      <c r="C675" s="64" t="s">
        <v>1523</v>
      </c>
      <c r="D675" s="59"/>
      <c r="E675" s="60" t="str">
        <f ca="1" t="shared" si="10"/>
        <v>LC</v>
      </c>
      <c r="F675" s="51">
        <v>2000</v>
      </c>
      <c r="H675" s="51" t="e">
        <v>#N/A</v>
      </c>
    </row>
    <row r="676" spans="1:8">
      <c r="A676" s="57" t="s">
        <v>1524</v>
      </c>
      <c r="B676" s="115" t="s">
        <v>861</v>
      </c>
      <c r="C676" s="64" t="s">
        <v>1525</v>
      </c>
      <c r="D676" s="59" t="s">
        <v>27</v>
      </c>
      <c r="E676" s="60" t="str">
        <f ca="1" t="shared" si="10"/>
        <v>LC</v>
      </c>
      <c r="F676" s="51">
        <v>2000</v>
      </c>
      <c r="H676" s="51">
        <v>0</v>
      </c>
    </row>
    <row r="677" spans="1:8">
      <c r="A677" s="57" t="s">
        <v>1526</v>
      </c>
      <c r="B677" s="115" t="s">
        <v>1527</v>
      </c>
      <c r="C677" s="64" t="s">
        <v>1528</v>
      </c>
      <c r="D677" s="59" t="s">
        <v>57</v>
      </c>
      <c r="E677" s="60" t="str">
        <f ca="1" t="shared" si="10"/>
        <v>LC</v>
      </c>
      <c r="F677" s="51">
        <v>2000</v>
      </c>
      <c r="H677" s="51">
        <v>1</v>
      </c>
    </row>
    <row r="678" spans="1:8">
      <c r="A678" s="57" t="s">
        <v>1529</v>
      </c>
      <c r="B678" s="115" t="s">
        <v>1530</v>
      </c>
      <c r="C678" s="64" t="s">
        <v>1531</v>
      </c>
      <c r="D678" s="59" t="s">
        <v>57</v>
      </c>
      <c r="E678" s="60" t="str">
        <f ca="1" t="shared" si="10"/>
        <v>LD</v>
      </c>
      <c r="F678" s="51">
        <v>2000</v>
      </c>
      <c r="H678" s="51">
        <v>1</v>
      </c>
    </row>
    <row r="679" spans="1:8">
      <c r="A679" s="57" t="s">
        <v>1532</v>
      </c>
      <c r="B679" s="115" t="s">
        <v>30</v>
      </c>
      <c r="C679" s="64" t="s">
        <v>1533</v>
      </c>
      <c r="D679" s="59" t="s">
        <v>27</v>
      </c>
      <c r="E679" s="60" t="str">
        <f ca="1" t="shared" si="10"/>
        <v>NX</v>
      </c>
      <c r="F679" s="51">
        <v>2000</v>
      </c>
      <c r="H679" s="51" t="e">
        <v>#N/A</v>
      </c>
    </row>
    <row r="680" spans="1:8">
      <c r="A680" s="57" t="s">
        <v>1534</v>
      </c>
      <c r="B680" s="115" t="s">
        <v>30</v>
      </c>
      <c r="C680" s="64" t="s">
        <v>1535</v>
      </c>
      <c r="D680" s="59" t="s">
        <v>27</v>
      </c>
      <c r="E680" s="60" t="str">
        <f ca="1" t="shared" si="10"/>
        <v>LD</v>
      </c>
      <c r="F680" s="51">
        <v>2000</v>
      </c>
      <c r="H680" s="51" t="e">
        <v>#N/A</v>
      </c>
    </row>
    <row r="681" spans="1:8">
      <c r="A681" s="57" t="s">
        <v>1536</v>
      </c>
      <c r="B681" s="115" t="s">
        <v>30</v>
      </c>
      <c r="C681" s="64" t="s">
        <v>1537</v>
      </c>
      <c r="D681" s="59" t="s">
        <v>27</v>
      </c>
      <c r="E681" s="60" t="str">
        <f ca="1" t="shared" si="10"/>
        <v>LD</v>
      </c>
      <c r="F681" s="51">
        <v>2000</v>
      </c>
      <c r="H681" s="51" t="e">
        <v>#N/A</v>
      </c>
    </row>
    <row r="682" spans="1:8">
      <c r="A682" s="57" t="s">
        <v>1538</v>
      </c>
      <c r="B682" s="115" t="s">
        <v>33</v>
      </c>
      <c r="C682" s="64" t="s">
        <v>1539</v>
      </c>
      <c r="D682" s="59" t="s">
        <v>27</v>
      </c>
      <c r="E682" s="60" t="str">
        <f ca="1" t="shared" si="10"/>
        <v>LD</v>
      </c>
      <c r="F682" s="51">
        <v>2000</v>
      </c>
      <c r="H682" s="51" t="e">
        <v>#N/A</v>
      </c>
    </row>
    <row r="683" spans="1:8">
      <c r="A683" s="57" t="s">
        <v>1540</v>
      </c>
      <c r="B683" s="115" t="s">
        <v>33</v>
      </c>
      <c r="C683" s="64" t="s">
        <v>1541</v>
      </c>
      <c r="D683" s="59" t="s">
        <v>27</v>
      </c>
      <c r="E683" s="60" t="str">
        <f ca="1" t="shared" si="10"/>
        <v>LD</v>
      </c>
      <c r="F683" s="51">
        <v>2000</v>
      </c>
      <c r="H683" s="51" t="e">
        <v>#N/A</v>
      </c>
    </row>
    <row r="684" spans="1:8">
      <c r="A684" s="57" t="s">
        <v>1542</v>
      </c>
      <c r="B684" s="115" t="s">
        <v>30</v>
      </c>
      <c r="C684" s="64" t="s">
        <v>1543</v>
      </c>
      <c r="D684" s="59" t="s">
        <v>27</v>
      </c>
      <c r="E684" s="60" t="str">
        <f ca="1" t="shared" si="10"/>
        <v>LD</v>
      </c>
      <c r="F684" s="51">
        <v>2000</v>
      </c>
      <c r="H684" s="51" t="e">
        <v>#N/A</v>
      </c>
    </row>
    <row r="685" spans="1:8">
      <c r="A685" s="57" t="s">
        <v>1544</v>
      </c>
      <c r="B685" s="115" t="s">
        <v>33</v>
      </c>
      <c r="C685" s="64" t="s">
        <v>1545</v>
      </c>
      <c r="D685" s="59" t="s">
        <v>27</v>
      </c>
      <c r="E685" s="60" t="str">
        <f ca="1" t="shared" si="10"/>
        <v>LD</v>
      </c>
      <c r="F685" s="51">
        <v>2000</v>
      </c>
      <c r="H685" s="51" t="e">
        <v>#N/A</v>
      </c>
    </row>
    <row r="686" spans="1:8">
      <c r="A686" s="57" t="s">
        <v>1546</v>
      </c>
      <c r="B686" s="115" t="s">
        <v>1547</v>
      </c>
      <c r="C686" s="64" t="s">
        <v>1548</v>
      </c>
      <c r="D686" s="59" t="s">
        <v>600</v>
      </c>
      <c r="E686" s="60" t="str">
        <f ca="1" t="shared" si="10"/>
        <v>DB</v>
      </c>
      <c r="F686" s="51">
        <v>2000</v>
      </c>
      <c r="H686" s="51">
        <v>0.204</v>
      </c>
    </row>
    <row r="687" spans="1:8">
      <c r="A687" s="57" t="s">
        <v>1549</v>
      </c>
      <c r="B687" s="115" t="s">
        <v>1550</v>
      </c>
      <c r="C687" s="64" t="s">
        <v>1551</v>
      </c>
      <c r="D687" s="59" t="s">
        <v>600</v>
      </c>
      <c r="E687" s="60" t="str">
        <f ca="1" t="shared" si="10"/>
        <v>DB</v>
      </c>
      <c r="F687" s="51">
        <v>2000</v>
      </c>
      <c r="H687" s="51">
        <v>0.55</v>
      </c>
    </row>
    <row r="688" spans="1:8">
      <c r="A688" s="57" t="s">
        <v>1552</v>
      </c>
      <c r="B688" s="119" t="s">
        <v>1553</v>
      </c>
      <c r="C688" s="64" t="s">
        <v>1554</v>
      </c>
      <c r="D688" s="59" t="s">
        <v>600</v>
      </c>
      <c r="E688" s="60" t="str">
        <f ca="1" t="shared" si="10"/>
        <v>DB</v>
      </c>
      <c r="F688" s="51">
        <v>2000</v>
      </c>
      <c r="H688" s="51">
        <v>0.39</v>
      </c>
    </row>
    <row r="689" spans="1:8">
      <c r="A689" s="57" t="s">
        <v>1555</v>
      </c>
      <c r="B689" s="115" t="s">
        <v>1556</v>
      </c>
      <c r="C689" s="64" t="s">
        <v>1557</v>
      </c>
      <c r="D689" s="59" t="s">
        <v>227</v>
      </c>
      <c r="E689" s="60" t="str">
        <f ca="1" t="shared" si="10"/>
        <v>LC</v>
      </c>
      <c r="F689" s="51">
        <v>2000</v>
      </c>
      <c r="H689" s="51">
        <v>0</v>
      </c>
    </row>
    <row r="690" spans="1:8">
      <c r="A690" s="57" t="s">
        <v>1558</v>
      </c>
      <c r="B690" s="115" t="s">
        <v>1559</v>
      </c>
      <c r="C690" s="64" t="s">
        <v>1560</v>
      </c>
      <c r="D690" s="59" t="s">
        <v>227</v>
      </c>
      <c r="E690" s="60" t="str">
        <f ca="1" t="shared" si="10"/>
        <v>LC</v>
      </c>
      <c r="F690" s="51">
        <v>2000</v>
      </c>
      <c r="H690" s="51" t="e">
        <v>#N/A</v>
      </c>
    </row>
    <row r="691" spans="1:8">
      <c r="A691" s="57" t="s">
        <v>1561</v>
      </c>
      <c r="B691" s="115" t="s">
        <v>1562</v>
      </c>
      <c r="C691" s="64" t="s">
        <v>1563</v>
      </c>
      <c r="D691" s="59" t="s">
        <v>227</v>
      </c>
      <c r="E691" s="60" t="str">
        <f ca="1" t="shared" si="10"/>
        <v>LC</v>
      </c>
      <c r="F691" s="51">
        <v>2000</v>
      </c>
      <c r="H691" s="51" t="e">
        <v>#N/A</v>
      </c>
    </row>
    <row r="692" spans="1:8">
      <c r="A692" s="57" t="s">
        <v>1564</v>
      </c>
      <c r="B692" s="115" t="s">
        <v>1565</v>
      </c>
      <c r="C692" s="64" t="s">
        <v>1566</v>
      </c>
      <c r="D692" s="59" t="s">
        <v>606</v>
      </c>
      <c r="E692" s="60" t="str">
        <f ca="1" t="shared" si="10"/>
        <v>LD</v>
      </c>
      <c r="F692" s="51">
        <v>2000</v>
      </c>
      <c r="H692" s="51">
        <v>8</v>
      </c>
    </row>
    <row r="693" spans="1:8">
      <c r="A693" s="57" t="s">
        <v>1567</v>
      </c>
      <c r="B693" s="115" t="s">
        <v>1568</v>
      </c>
      <c r="C693" s="64" t="s">
        <v>1569</v>
      </c>
      <c r="D693" s="59" t="s">
        <v>1570</v>
      </c>
      <c r="E693" s="60" t="str">
        <f ca="1" t="shared" si="10"/>
        <v>KD</v>
      </c>
      <c r="F693" s="51">
        <v>2000</v>
      </c>
      <c r="H693" s="51" t="e">
        <v>#N/A</v>
      </c>
    </row>
    <row r="694" spans="1:8">
      <c r="A694" s="57" t="s">
        <v>1571</v>
      </c>
      <c r="B694" s="115" t="s">
        <v>1572</v>
      </c>
      <c r="C694" s="64" t="s">
        <v>1573</v>
      </c>
      <c r="D694" s="59" t="s">
        <v>1570</v>
      </c>
      <c r="E694" s="60" t="str">
        <f ca="1" t="shared" si="10"/>
        <v>KD</v>
      </c>
      <c r="F694" s="51">
        <v>2000</v>
      </c>
      <c r="H694" s="51" t="e">
        <v>#N/A</v>
      </c>
    </row>
    <row r="695" spans="1:8">
      <c r="A695" s="57" t="s">
        <v>1574</v>
      </c>
      <c r="B695" s="115" t="s">
        <v>1575</v>
      </c>
      <c r="C695" s="64" t="s">
        <v>1576</v>
      </c>
      <c r="D695" s="59" t="s">
        <v>1570</v>
      </c>
      <c r="E695" s="60" t="str">
        <f ca="1" t="shared" si="10"/>
        <v>KD</v>
      </c>
      <c r="F695" s="51">
        <v>2000</v>
      </c>
      <c r="H695" s="51" t="e">
        <v>#N/A</v>
      </c>
    </row>
    <row r="696" spans="1:8">
      <c r="A696" s="57" t="s">
        <v>1577</v>
      </c>
      <c r="B696" s="115" t="s">
        <v>1578</v>
      </c>
      <c r="C696" s="64" t="s">
        <v>1579</v>
      </c>
      <c r="D696" s="59" t="s">
        <v>1570</v>
      </c>
      <c r="E696" s="60" t="str">
        <f ca="1" t="shared" si="10"/>
        <v>KD</v>
      </c>
      <c r="F696" s="51">
        <v>2000</v>
      </c>
      <c r="H696" s="51" t="e">
        <v>#N/A</v>
      </c>
    </row>
    <row r="697" spans="1:8">
      <c r="A697" s="57" t="s">
        <v>1580</v>
      </c>
      <c r="B697" s="115" t="s">
        <v>1581</v>
      </c>
      <c r="C697" s="64" t="s">
        <v>1582</v>
      </c>
      <c r="D697" s="59" t="s">
        <v>1570</v>
      </c>
      <c r="E697" s="60" t="str">
        <f ca="1" t="shared" si="10"/>
        <v>KD</v>
      </c>
      <c r="F697" s="51">
        <v>2000</v>
      </c>
      <c r="H697" s="51" t="e">
        <v>#N/A</v>
      </c>
    </row>
    <row r="698" spans="1:8">
      <c r="A698" s="57" t="s">
        <v>1583</v>
      </c>
      <c r="B698" s="115" t="s">
        <v>1572</v>
      </c>
      <c r="C698" s="64" t="s">
        <v>1584</v>
      </c>
      <c r="D698" s="59" t="s">
        <v>1570</v>
      </c>
      <c r="E698" s="60" t="str">
        <f ca="1" t="shared" si="10"/>
        <v>KD</v>
      </c>
      <c r="F698" s="51">
        <v>2000</v>
      </c>
      <c r="H698" s="51">
        <v>0</v>
      </c>
    </row>
    <row r="699" spans="1:8">
      <c r="A699" s="57" t="s">
        <v>1585</v>
      </c>
      <c r="B699" s="115" t="s">
        <v>1586</v>
      </c>
      <c r="C699" s="64" t="s">
        <v>1587</v>
      </c>
      <c r="D699" s="59" t="s">
        <v>1570</v>
      </c>
      <c r="E699" s="60" t="str">
        <f ca="1" t="shared" si="10"/>
        <v>KD</v>
      </c>
      <c r="F699" s="51">
        <v>2000</v>
      </c>
      <c r="H699" s="51">
        <v>0</v>
      </c>
    </row>
    <row r="700" spans="1:8">
      <c r="A700" s="57" t="s">
        <v>1588</v>
      </c>
      <c r="B700" s="115" t="s">
        <v>1589</v>
      </c>
      <c r="C700" s="64" t="s">
        <v>1590</v>
      </c>
      <c r="D700" s="59" t="s">
        <v>1570</v>
      </c>
      <c r="E700" s="60" t="str">
        <f ca="1" t="shared" si="10"/>
        <v>KD</v>
      </c>
      <c r="F700" s="51">
        <v>2000</v>
      </c>
      <c r="H700" s="51">
        <v>0</v>
      </c>
    </row>
    <row r="701" spans="1:8">
      <c r="A701" s="57" t="s">
        <v>1591</v>
      </c>
      <c r="B701" s="115" t="s">
        <v>1592</v>
      </c>
      <c r="C701" s="64" t="s">
        <v>1593</v>
      </c>
      <c r="D701" s="59" t="s">
        <v>1570</v>
      </c>
      <c r="E701" s="60" t="str">
        <f ca="1" t="shared" si="10"/>
        <v>KD</v>
      </c>
      <c r="F701" s="51">
        <v>2000</v>
      </c>
      <c r="H701" s="51">
        <v>0</v>
      </c>
    </row>
    <row r="702" spans="1:8">
      <c r="A702" s="57" t="s">
        <v>1594</v>
      </c>
      <c r="B702" s="115" t="s">
        <v>1595</v>
      </c>
      <c r="C702" s="64" t="s">
        <v>1596</v>
      </c>
      <c r="D702" s="59" t="s">
        <v>1570</v>
      </c>
      <c r="E702" s="60" t="str">
        <f ca="1" t="shared" si="10"/>
        <v>KD</v>
      </c>
      <c r="F702" s="51">
        <v>2000</v>
      </c>
      <c r="H702" s="51">
        <v>0</v>
      </c>
    </row>
    <row r="703" spans="1:8">
      <c r="A703" s="57" t="s">
        <v>1597</v>
      </c>
      <c r="B703" s="115" t="s">
        <v>1598</v>
      </c>
      <c r="C703" s="64" t="s">
        <v>1599</v>
      </c>
      <c r="D703" s="59" t="s">
        <v>1570</v>
      </c>
      <c r="E703" s="60" t="str">
        <f ca="1" t="shared" si="10"/>
        <v>KD</v>
      </c>
      <c r="F703" s="51">
        <v>2000</v>
      </c>
      <c r="H703" s="51">
        <v>0</v>
      </c>
    </row>
    <row r="704" spans="1:8">
      <c r="A704" s="57" t="s">
        <v>1600</v>
      </c>
      <c r="B704" s="115" t="s">
        <v>1601</v>
      </c>
      <c r="C704" s="64" t="s">
        <v>1602</v>
      </c>
      <c r="D704" s="59" t="s">
        <v>1570</v>
      </c>
      <c r="E704" s="60" t="str">
        <f ca="1" t="shared" si="10"/>
        <v>KD</v>
      </c>
      <c r="F704" s="51">
        <v>2000</v>
      </c>
      <c r="H704" s="51">
        <v>0</v>
      </c>
    </row>
    <row r="705" spans="1:8">
      <c r="A705" s="78" t="s">
        <v>1603</v>
      </c>
      <c r="B705" s="115" t="s">
        <v>1604</v>
      </c>
      <c r="C705" s="64" t="s">
        <v>1605</v>
      </c>
      <c r="D705" s="59" t="s">
        <v>1570</v>
      </c>
      <c r="E705" s="60" t="str">
        <f ca="1" t="shared" si="10"/>
        <v>KD</v>
      </c>
      <c r="F705" s="51">
        <v>2000</v>
      </c>
      <c r="H705" s="51">
        <v>0</v>
      </c>
    </row>
    <row r="706" spans="1:8">
      <c r="A706" s="78" t="s">
        <v>1606</v>
      </c>
      <c r="B706" s="115" t="s">
        <v>1604</v>
      </c>
      <c r="C706" s="64" t="s">
        <v>1607</v>
      </c>
      <c r="D706" s="59" t="s">
        <v>1570</v>
      </c>
      <c r="E706" s="60" t="str">
        <f ca="1" t="shared" si="10"/>
        <v>KD</v>
      </c>
      <c r="F706" s="51">
        <v>2000</v>
      </c>
      <c r="H706" s="51" t="e">
        <v>#N/A</v>
      </c>
    </row>
    <row r="707" spans="1:8">
      <c r="A707" s="78" t="s">
        <v>1608</v>
      </c>
      <c r="B707" s="115" t="s">
        <v>1609</v>
      </c>
      <c r="C707" s="64" t="s">
        <v>1610</v>
      </c>
      <c r="D707" s="59" t="s">
        <v>1570</v>
      </c>
      <c r="E707" s="60" t="str">
        <f ca="1" t="shared" ref="E707:E770" si="11">LEFT(A707,2)</f>
        <v>KD</v>
      </c>
      <c r="F707" s="51">
        <v>2000</v>
      </c>
      <c r="H707" s="51">
        <v>0</v>
      </c>
    </row>
    <row r="708" spans="1:8">
      <c r="A708" s="78" t="s">
        <v>1611</v>
      </c>
      <c r="B708" s="119" t="s">
        <v>1612</v>
      </c>
      <c r="C708" s="64" t="s">
        <v>1613</v>
      </c>
      <c r="D708" s="59" t="s">
        <v>1570</v>
      </c>
      <c r="E708" s="60" t="str">
        <f ca="1" t="shared" si="11"/>
        <v>KD</v>
      </c>
      <c r="F708" s="51">
        <v>2000</v>
      </c>
      <c r="H708" s="51" t="e">
        <v>#N/A</v>
      </c>
    </row>
    <row r="709" spans="1:8">
      <c r="A709" s="78" t="s">
        <v>1614</v>
      </c>
      <c r="B709" s="115" t="s">
        <v>1615</v>
      </c>
      <c r="C709" s="64" t="s">
        <v>1616</v>
      </c>
      <c r="D709" s="59" t="s">
        <v>1570</v>
      </c>
      <c r="E709" s="60" t="str">
        <f ca="1" t="shared" si="11"/>
        <v>KD</v>
      </c>
      <c r="F709" s="51">
        <v>2000</v>
      </c>
      <c r="H709" s="51">
        <v>0</v>
      </c>
    </row>
    <row r="710" spans="1:8">
      <c r="A710" s="57" t="s">
        <v>1617</v>
      </c>
      <c r="B710" s="115" t="s">
        <v>1581</v>
      </c>
      <c r="C710" s="64" t="s">
        <v>1618</v>
      </c>
      <c r="D710" s="59" t="s">
        <v>1570</v>
      </c>
      <c r="E710" s="60" t="str">
        <f ca="1" t="shared" si="11"/>
        <v>KD</v>
      </c>
      <c r="F710" s="51">
        <v>2000</v>
      </c>
      <c r="H710" s="51" t="e">
        <v>#N/A</v>
      </c>
    </row>
    <row r="711" spans="1:8">
      <c r="A711" s="57" t="s">
        <v>1619</v>
      </c>
      <c r="B711" s="115" t="s">
        <v>1620</v>
      </c>
      <c r="C711" s="64" t="s">
        <v>1621</v>
      </c>
      <c r="D711" s="59" t="s">
        <v>1570</v>
      </c>
      <c r="E711" s="60" t="str">
        <f ca="1" t="shared" si="11"/>
        <v>KD</v>
      </c>
      <c r="F711" s="51">
        <v>2000</v>
      </c>
      <c r="H711" s="51">
        <v>0</v>
      </c>
    </row>
    <row r="712" spans="1:8">
      <c r="A712" s="57" t="s">
        <v>1622</v>
      </c>
      <c r="B712" s="115" t="s">
        <v>1586</v>
      </c>
      <c r="C712" s="64" t="s">
        <v>1623</v>
      </c>
      <c r="D712" s="59" t="s">
        <v>1570</v>
      </c>
      <c r="E712" s="60" t="str">
        <f ca="1" t="shared" si="11"/>
        <v>KD</v>
      </c>
      <c r="F712" s="51">
        <v>2000</v>
      </c>
      <c r="H712" s="51">
        <v>0</v>
      </c>
    </row>
    <row r="713" spans="1:8">
      <c r="A713" s="57" t="s">
        <v>1624</v>
      </c>
      <c r="B713" s="115" t="s">
        <v>1589</v>
      </c>
      <c r="C713" s="64" t="s">
        <v>1625</v>
      </c>
      <c r="D713" s="59" t="s">
        <v>1570</v>
      </c>
      <c r="E713" s="60" t="str">
        <f ca="1" t="shared" si="11"/>
        <v>KD</v>
      </c>
      <c r="F713" s="51">
        <v>2000</v>
      </c>
      <c r="H713" s="51">
        <v>0</v>
      </c>
    </row>
    <row r="714" spans="1:8">
      <c r="A714" s="57" t="s">
        <v>1626</v>
      </c>
      <c r="B714" s="115" t="s">
        <v>1592</v>
      </c>
      <c r="C714" s="64" t="s">
        <v>1627</v>
      </c>
      <c r="D714" s="59" t="s">
        <v>1570</v>
      </c>
      <c r="E714" s="60" t="str">
        <f ca="1" t="shared" si="11"/>
        <v>KD</v>
      </c>
      <c r="F714" s="51">
        <v>2000</v>
      </c>
      <c r="H714" s="51">
        <v>0</v>
      </c>
    </row>
    <row r="715" spans="1:8">
      <c r="A715" s="57" t="s">
        <v>1628</v>
      </c>
      <c r="B715" s="115" t="s">
        <v>1595</v>
      </c>
      <c r="C715" s="64" t="s">
        <v>1629</v>
      </c>
      <c r="D715" s="59" t="s">
        <v>1570</v>
      </c>
      <c r="E715" s="60" t="str">
        <f ca="1" t="shared" si="11"/>
        <v>KD</v>
      </c>
      <c r="F715" s="51">
        <v>2000</v>
      </c>
      <c r="H715" s="51">
        <v>0</v>
      </c>
    </row>
    <row r="716" s="51" customFormat="1" spans="1:8">
      <c r="A716" s="57" t="s">
        <v>1630</v>
      </c>
      <c r="B716" s="115" t="s">
        <v>1620</v>
      </c>
      <c r="C716" s="64" t="s">
        <v>1631</v>
      </c>
      <c r="D716" s="59" t="s">
        <v>1570</v>
      </c>
      <c r="E716" s="60" t="str">
        <f ca="1" t="shared" si="11"/>
        <v>KD</v>
      </c>
      <c r="F716" s="51">
        <v>2000</v>
      </c>
      <c r="H716" s="51">
        <v>0</v>
      </c>
    </row>
    <row r="717" s="51" customFormat="1" spans="1:8">
      <c r="A717" s="57" t="s">
        <v>1632</v>
      </c>
      <c r="B717" s="115" t="s">
        <v>1595</v>
      </c>
      <c r="C717" s="64" t="s">
        <v>1633</v>
      </c>
      <c r="D717" s="59" t="s">
        <v>1570</v>
      </c>
      <c r="E717" s="60" t="str">
        <f ca="1" t="shared" si="11"/>
        <v>KD</v>
      </c>
      <c r="F717" s="51">
        <v>2000</v>
      </c>
      <c r="H717" s="51" t="e">
        <v>#N/A</v>
      </c>
    </row>
    <row r="718" spans="1:8">
      <c r="A718" s="57" t="s">
        <v>1634</v>
      </c>
      <c r="B718" s="115" t="s">
        <v>1598</v>
      </c>
      <c r="C718" s="64" t="s">
        <v>1635</v>
      </c>
      <c r="D718" s="59" t="s">
        <v>1570</v>
      </c>
      <c r="E718" s="60" t="str">
        <f ca="1" t="shared" si="11"/>
        <v>KD</v>
      </c>
      <c r="F718" s="51">
        <v>2000</v>
      </c>
      <c r="H718" s="51">
        <v>0</v>
      </c>
    </row>
    <row r="719" spans="1:8">
      <c r="A719" s="57" t="s">
        <v>1636</v>
      </c>
      <c r="B719" s="115" t="s">
        <v>1601</v>
      </c>
      <c r="C719" s="64" t="s">
        <v>1637</v>
      </c>
      <c r="D719" s="59" t="s">
        <v>1570</v>
      </c>
      <c r="E719" s="60" t="str">
        <f ca="1" t="shared" si="11"/>
        <v>KD</v>
      </c>
      <c r="F719" s="51">
        <v>2000</v>
      </c>
      <c r="H719" s="51">
        <v>0</v>
      </c>
    </row>
    <row r="720" spans="1:8">
      <c r="A720" s="57" t="s">
        <v>1638</v>
      </c>
      <c r="B720" s="115" t="s">
        <v>1639</v>
      </c>
      <c r="C720" s="64" t="s">
        <v>1640</v>
      </c>
      <c r="D720" s="59" t="s">
        <v>1570</v>
      </c>
      <c r="E720" s="60" t="str">
        <f ca="1" t="shared" si="11"/>
        <v>KD</v>
      </c>
      <c r="F720" s="51">
        <v>2000</v>
      </c>
      <c r="H720" s="51" t="e">
        <v>#N/A</v>
      </c>
    </row>
    <row r="721" spans="1:8">
      <c r="A721" s="57" t="s">
        <v>1641</v>
      </c>
      <c r="B721" s="115" t="s">
        <v>1639</v>
      </c>
      <c r="C721" s="64" t="s">
        <v>1642</v>
      </c>
      <c r="D721" s="59" t="s">
        <v>1570</v>
      </c>
      <c r="E721" s="60" t="str">
        <f ca="1" t="shared" si="11"/>
        <v>KD</v>
      </c>
      <c r="F721" s="51">
        <v>2000</v>
      </c>
      <c r="H721" s="51">
        <v>0</v>
      </c>
    </row>
    <row r="722" spans="1:8">
      <c r="A722" s="57" t="s">
        <v>1643</v>
      </c>
      <c r="B722" s="115" t="s">
        <v>1644</v>
      </c>
      <c r="C722" s="64" t="s">
        <v>1645</v>
      </c>
      <c r="D722" s="59" t="s">
        <v>1570</v>
      </c>
      <c r="E722" s="60" t="str">
        <f ca="1" t="shared" si="11"/>
        <v>KD</v>
      </c>
      <c r="F722" s="51">
        <v>2000</v>
      </c>
      <c r="H722" s="51" t="e">
        <v>#N/A</v>
      </c>
    </row>
    <row r="723" spans="1:8">
      <c r="A723" s="57" t="s">
        <v>1646</v>
      </c>
      <c r="B723" s="115" t="s">
        <v>1647</v>
      </c>
      <c r="C723" s="64" t="s">
        <v>1648</v>
      </c>
      <c r="D723" s="59" t="s">
        <v>1570</v>
      </c>
      <c r="E723" s="60" t="str">
        <f ca="1" t="shared" si="11"/>
        <v>KD</v>
      </c>
      <c r="F723" s="51">
        <v>2000</v>
      </c>
      <c r="H723" s="51" t="e">
        <v>#N/A</v>
      </c>
    </row>
    <row r="724" spans="1:8">
      <c r="A724" s="57" t="s">
        <v>1649</v>
      </c>
      <c r="B724" s="115" t="s">
        <v>1647</v>
      </c>
      <c r="C724" s="64" t="s">
        <v>1650</v>
      </c>
      <c r="D724" s="59" t="s">
        <v>1570</v>
      </c>
      <c r="E724" s="60" t="str">
        <f ca="1" t="shared" si="11"/>
        <v>KD</v>
      </c>
      <c r="F724" s="51">
        <v>2000</v>
      </c>
      <c r="H724" s="51" t="e">
        <v>#N/A</v>
      </c>
    </row>
    <row r="725" spans="1:8">
      <c r="A725" s="57" t="s">
        <v>1651</v>
      </c>
      <c r="B725" s="115" t="s">
        <v>1652</v>
      </c>
      <c r="C725" s="64" t="s">
        <v>1653</v>
      </c>
      <c r="D725" s="59" t="s">
        <v>1570</v>
      </c>
      <c r="E725" s="60" t="str">
        <f ca="1" t="shared" si="11"/>
        <v>KD</v>
      </c>
      <c r="F725" s="51">
        <v>2000</v>
      </c>
      <c r="H725" s="51" t="e">
        <v>#N/A</v>
      </c>
    </row>
    <row r="726" spans="1:8">
      <c r="A726" s="57" t="s">
        <v>1654</v>
      </c>
      <c r="B726" s="115" t="s">
        <v>1655</v>
      </c>
      <c r="C726" s="64" t="s">
        <v>1656</v>
      </c>
      <c r="D726" s="59" t="s">
        <v>1570</v>
      </c>
      <c r="E726" s="60" t="str">
        <f ca="1" t="shared" si="11"/>
        <v>KD</v>
      </c>
      <c r="F726" s="51">
        <v>2000</v>
      </c>
      <c r="H726" s="51" t="e">
        <v>#N/A</v>
      </c>
    </row>
    <row r="727" spans="1:8">
      <c r="A727" s="57" t="s">
        <v>1657</v>
      </c>
      <c r="B727" s="115" t="s">
        <v>1639</v>
      </c>
      <c r="C727" s="64" t="s">
        <v>1658</v>
      </c>
      <c r="D727" s="59" t="s">
        <v>1570</v>
      </c>
      <c r="E727" s="60" t="str">
        <f ca="1" t="shared" si="11"/>
        <v>KD</v>
      </c>
      <c r="F727" s="51">
        <v>2000</v>
      </c>
      <c r="H727" s="51">
        <v>0</v>
      </c>
    </row>
    <row r="728" spans="1:8">
      <c r="A728" s="57" t="s">
        <v>1659</v>
      </c>
      <c r="B728" s="115" t="s">
        <v>1647</v>
      </c>
      <c r="C728" s="64" t="s">
        <v>1660</v>
      </c>
      <c r="D728" s="59" t="s">
        <v>1570</v>
      </c>
      <c r="E728" s="60" t="str">
        <f ca="1" t="shared" si="11"/>
        <v>KD</v>
      </c>
      <c r="F728" s="51">
        <v>2000</v>
      </c>
      <c r="H728" s="51">
        <v>0</v>
      </c>
    </row>
    <row r="729" spans="1:8">
      <c r="A729" s="57" t="s">
        <v>1661</v>
      </c>
      <c r="B729" s="115" t="s">
        <v>1655</v>
      </c>
      <c r="C729" s="64" t="s">
        <v>1662</v>
      </c>
      <c r="D729" s="59" t="s">
        <v>1570</v>
      </c>
      <c r="E729" s="60" t="str">
        <f ca="1" t="shared" si="11"/>
        <v>KD</v>
      </c>
      <c r="F729" s="51">
        <v>2000</v>
      </c>
      <c r="H729" s="51" t="e">
        <v>#N/A</v>
      </c>
    </row>
    <row r="730" spans="1:8">
      <c r="A730" s="57" t="s">
        <v>1663</v>
      </c>
      <c r="B730" s="115" t="s">
        <v>1664</v>
      </c>
      <c r="C730" s="64" t="s">
        <v>1665</v>
      </c>
      <c r="D730" s="59" t="s">
        <v>1666</v>
      </c>
      <c r="E730" s="60" t="str">
        <f ca="1" t="shared" si="11"/>
        <v>KD</v>
      </c>
      <c r="F730" s="51">
        <v>2000</v>
      </c>
      <c r="H730" s="51" t="e">
        <v>#N/A</v>
      </c>
    </row>
    <row r="731" spans="1:8">
      <c r="A731" s="57" t="s">
        <v>1667</v>
      </c>
      <c r="B731" s="115" t="s">
        <v>1668</v>
      </c>
      <c r="C731" s="64" t="s">
        <v>1669</v>
      </c>
      <c r="D731" s="59" t="s">
        <v>1666</v>
      </c>
      <c r="E731" s="60" t="str">
        <f ca="1" t="shared" si="11"/>
        <v>KD</v>
      </c>
      <c r="F731" s="51">
        <v>2000</v>
      </c>
      <c r="H731" s="51">
        <v>0</v>
      </c>
    </row>
    <row r="732" spans="1:8">
      <c r="A732" s="57" t="s">
        <v>1670</v>
      </c>
      <c r="B732" s="115" t="s">
        <v>1671</v>
      </c>
      <c r="C732" s="64" t="s">
        <v>1672</v>
      </c>
      <c r="D732" s="59" t="s">
        <v>1666</v>
      </c>
      <c r="E732" s="60" t="str">
        <f ca="1" t="shared" si="11"/>
        <v>KD</v>
      </c>
      <c r="F732" s="51">
        <v>2000</v>
      </c>
      <c r="H732" s="51">
        <v>0</v>
      </c>
    </row>
    <row r="733" spans="1:8">
      <c r="A733" s="57" t="s">
        <v>1673</v>
      </c>
      <c r="B733" s="115" t="s">
        <v>1671</v>
      </c>
      <c r="C733" s="64" t="s">
        <v>1674</v>
      </c>
      <c r="D733" s="59" t="s">
        <v>1666</v>
      </c>
      <c r="E733" s="60" t="str">
        <f ca="1" t="shared" si="11"/>
        <v>KD</v>
      </c>
      <c r="F733" s="51">
        <v>2000</v>
      </c>
      <c r="H733" s="51" t="e">
        <v>#N/A</v>
      </c>
    </row>
    <row r="734" spans="1:8">
      <c r="A734" s="57" t="s">
        <v>1675</v>
      </c>
      <c r="B734" s="115" t="s">
        <v>1676</v>
      </c>
      <c r="C734" s="64" t="s">
        <v>1677</v>
      </c>
      <c r="D734" s="59" t="s">
        <v>1666</v>
      </c>
      <c r="E734" s="60" t="str">
        <f ca="1" t="shared" si="11"/>
        <v>KD</v>
      </c>
      <c r="F734" s="51">
        <v>2000</v>
      </c>
      <c r="H734" s="51" t="e">
        <v>#N/A</v>
      </c>
    </row>
    <row r="735" spans="1:8">
      <c r="A735" s="57" t="s">
        <v>1678</v>
      </c>
      <c r="B735" s="115" t="s">
        <v>1679</v>
      </c>
      <c r="C735" s="64" t="s">
        <v>1680</v>
      </c>
      <c r="D735" s="59" t="s">
        <v>1666</v>
      </c>
      <c r="E735" s="60" t="str">
        <f ca="1" t="shared" si="11"/>
        <v>KD</v>
      </c>
      <c r="F735" s="51">
        <v>2000</v>
      </c>
      <c r="H735" s="51" t="e">
        <v>#N/A</v>
      </c>
    </row>
    <row r="736" spans="1:8">
      <c r="A736" s="57" t="s">
        <v>1681</v>
      </c>
      <c r="B736" s="115" t="s">
        <v>1049</v>
      </c>
      <c r="C736" s="64" t="s">
        <v>1682</v>
      </c>
      <c r="D736" s="59" t="s">
        <v>241</v>
      </c>
      <c r="E736" s="60" t="str">
        <f ca="1" t="shared" si="11"/>
        <v>LS</v>
      </c>
      <c r="F736" s="51">
        <v>2000</v>
      </c>
      <c r="H736" s="51" t="e">
        <v>#N/A</v>
      </c>
    </row>
    <row r="737" spans="1:8">
      <c r="A737" s="57" t="s">
        <v>1683</v>
      </c>
      <c r="B737" s="115" t="s">
        <v>1684</v>
      </c>
      <c r="C737" s="64" t="s">
        <v>1685</v>
      </c>
      <c r="D737" s="59" t="s">
        <v>241</v>
      </c>
      <c r="E737" s="60" t="str">
        <f ca="1" t="shared" si="11"/>
        <v>LS</v>
      </c>
      <c r="F737" s="51">
        <v>2000</v>
      </c>
      <c r="H737" s="51" t="e">
        <v>#N/A</v>
      </c>
    </row>
    <row r="738" spans="1:8">
      <c r="A738" s="57" t="s">
        <v>1686</v>
      </c>
      <c r="B738" s="115" t="s">
        <v>1687</v>
      </c>
      <c r="C738" s="64" t="s">
        <v>1688</v>
      </c>
      <c r="D738" s="59" t="s">
        <v>241</v>
      </c>
      <c r="E738" s="60" t="str">
        <f ca="1" t="shared" si="11"/>
        <v>LS</v>
      </c>
      <c r="F738" s="51">
        <v>2000</v>
      </c>
      <c r="H738" s="51" t="e">
        <v>#N/A</v>
      </c>
    </row>
    <row r="739" s="51" customFormat="1" spans="1:8">
      <c r="A739" s="57" t="s">
        <v>1689</v>
      </c>
      <c r="B739" s="115" t="s">
        <v>1690</v>
      </c>
      <c r="C739" s="64" t="s">
        <v>1691</v>
      </c>
      <c r="D739" s="59" t="s">
        <v>241</v>
      </c>
      <c r="E739" s="60" t="str">
        <f ca="1" t="shared" si="11"/>
        <v>LS</v>
      </c>
      <c r="F739" s="51">
        <v>2000</v>
      </c>
      <c r="H739" s="51" t="e">
        <v>#N/A</v>
      </c>
    </row>
    <row r="740" s="51" customFormat="1" spans="1:8">
      <c r="A740" s="57" t="s">
        <v>1692</v>
      </c>
      <c r="B740" s="115" t="s">
        <v>1693</v>
      </c>
      <c r="C740" s="64" t="s">
        <v>1694</v>
      </c>
      <c r="D740" s="59" t="s">
        <v>241</v>
      </c>
      <c r="E740" s="60" t="str">
        <f ca="1" t="shared" si="11"/>
        <v>LS</v>
      </c>
      <c r="F740" s="51">
        <v>2000</v>
      </c>
      <c r="H740" s="51" t="e">
        <v>#N/A</v>
      </c>
    </row>
    <row r="741" spans="1:8">
      <c r="A741" s="57" t="s">
        <v>1695</v>
      </c>
      <c r="B741" s="115" t="s">
        <v>1696</v>
      </c>
      <c r="C741" s="64" t="s">
        <v>1697</v>
      </c>
      <c r="D741" s="59" t="s">
        <v>241</v>
      </c>
      <c r="E741" s="60" t="str">
        <f ca="1" t="shared" si="11"/>
        <v>LP</v>
      </c>
      <c r="F741" s="51">
        <v>2000</v>
      </c>
      <c r="H741" s="51" t="e">
        <v>#N/A</v>
      </c>
    </row>
    <row r="742" spans="1:8">
      <c r="A742" s="57" t="s">
        <v>1698</v>
      </c>
      <c r="B742" s="115" t="s">
        <v>1699</v>
      </c>
      <c r="C742" s="64" t="s">
        <v>1700</v>
      </c>
      <c r="D742" s="59" t="s">
        <v>241</v>
      </c>
      <c r="E742" s="60" t="str">
        <f ca="1" t="shared" si="11"/>
        <v>LP</v>
      </c>
      <c r="F742" s="51">
        <v>2000</v>
      </c>
      <c r="H742" s="51" t="e">
        <v>#N/A</v>
      </c>
    </row>
    <row r="743" spans="1:8">
      <c r="A743" s="57" t="s">
        <v>1701</v>
      </c>
      <c r="B743" s="115" t="s">
        <v>1702</v>
      </c>
      <c r="C743" s="64" t="s">
        <v>1703</v>
      </c>
      <c r="D743" s="59" t="s">
        <v>241</v>
      </c>
      <c r="E743" s="60" t="str">
        <f ca="1" t="shared" si="11"/>
        <v>LP</v>
      </c>
      <c r="F743" s="51">
        <v>2000</v>
      </c>
      <c r="H743" s="51" t="s">
        <v>241</v>
      </c>
    </row>
    <row r="744" spans="1:8">
      <c r="A744" s="57" t="s">
        <v>1704</v>
      </c>
      <c r="B744" s="115" t="s">
        <v>1705</v>
      </c>
      <c r="C744" s="64" t="s">
        <v>1706</v>
      </c>
      <c r="D744" s="59" t="s">
        <v>241</v>
      </c>
      <c r="E744" s="60" t="str">
        <f ca="1" t="shared" si="11"/>
        <v>LP</v>
      </c>
      <c r="F744" s="51">
        <v>2000</v>
      </c>
      <c r="H744" s="51" t="s">
        <v>241</v>
      </c>
    </row>
    <row r="745" s="51" customFormat="1" spans="1:8">
      <c r="A745" s="57" t="s">
        <v>1707</v>
      </c>
      <c r="B745" s="115" t="s">
        <v>1696</v>
      </c>
      <c r="C745" s="64" t="s">
        <v>1708</v>
      </c>
      <c r="D745" s="59" t="s">
        <v>241</v>
      </c>
      <c r="E745" s="60" t="str">
        <f ca="1" t="shared" si="11"/>
        <v>LP</v>
      </c>
      <c r="F745" s="51">
        <v>2000</v>
      </c>
      <c r="H745" s="51" t="e">
        <v>#N/A</v>
      </c>
    </row>
    <row r="746" s="51" customFormat="1" spans="1:8">
      <c r="A746" s="57" t="s">
        <v>1709</v>
      </c>
      <c r="B746" s="58" t="s">
        <v>1710</v>
      </c>
      <c r="C746" s="64" t="s">
        <v>1711</v>
      </c>
      <c r="D746" s="59" t="s">
        <v>241</v>
      </c>
      <c r="E746" s="60" t="str">
        <f ca="1" t="shared" si="11"/>
        <v>LP</v>
      </c>
      <c r="F746" s="51">
        <v>2000</v>
      </c>
      <c r="H746" s="51" t="e">
        <v>#N/A</v>
      </c>
    </row>
    <row r="747" s="51" customFormat="1" spans="1:8">
      <c r="A747" s="57" t="s">
        <v>1712</v>
      </c>
      <c r="B747" s="58" t="s">
        <v>1713</v>
      </c>
      <c r="C747" s="64" t="s">
        <v>1714</v>
      </c>
      <c r="D747" s="59" t="s">
        <v>241</v>
      </c>
      <c r="E747" s="60" t="str">
        <f ca="1" t="shared" si="11"/>
        <v>KC</v>
      </c>
      <c r="F747" s="51">
        <v>2000</v>
      </c>
      <c r="H747" s="51" t="e">
        <v>#N/A</v>
      </c>
    </row>
    <row r="748" s="51" customFormat="1" spans="1:8">
      <c r="A748" s="57" t="s">
        <v>1715</v>
      </c>
      <c r="B748" s="58" t="s">
        <v>1716</v>
      </c>
      <c r="C748" s="64" t="s">
        <v>1717</v>
      </c>
      <c r="D748" s="59" t="s">
        <v>241</v>
      </c>
      <c r="E748" s="60" t="str">
        <f ca="1" t="shared" si="11"/>
        <v>KC</v>
      </c>
      <c r="F748" s="51">
        <v>2000</v>
      </c>
      <c r="H748" s="51" t="e">
        <v>#N/A</v>
      </c>
    </row>
    <row r="749" s="51" customFormat="1" spans="1:8">
      <c r="A749" s="57" t="s">
        <v>1718</v>
      </c>
      <c r="B749" s="58" t="s">
        <v>1719</v>
      </c>
      <c r="C749" s="64" t="s">
        <v>1720</v>
      </c>
      <c r="D749" s="59" t="s">
        <v>241</v>
      </c>
      <c r="E749" s="60" t="str">
        <f ca="1" t="shared" si="11"/>
        <v>KC</v>
      </c>
      <c r="F749" s="51">
        <v>2000</v>
      </c>
      <c r="H749" s="51">
        <v>0</v>
      </c>
    </row>
    <row r="750" s="51" customFormat="1" spans="1:8">
      <c r="A750" s="57" t="s">
        <v>1721</v>
      </c>
      <c r="B750" s="58" t="s">
        <v>1722</v>
      </c>
      <c r="C750" s="64" t="s">
        <v>1723</v>
      </c>
      <c r="D750" s="59" t="s">
        <v>241</v>
      </c>
      <c r="E750" s="60" t="str">
        <f ca="1" t="shared" si="11"/>
        <v>KC</v>
      </c>
      <c r="F750" s="51">
        <v>2000</v>
      </c>
      <c r="H750" s="51">
        <v>0</v>
      </c>
    </row>
    <row r="751" s="51" customFormat="1" spans="1:8">
      <c r="A751" s="57" t="s">
        <v>1724</v>
      </c>
      <c r="B751" s="58" t="s">
        <v>1725</v>
      </c>
      <c r="C751" s="64" t="s">
        <v>1726</v>
      </c>
      <c r="D751" s="59" t="s">
        <v>241</v>
      </c>
      <c r="E751" s="60" t="str">
        <f ca="1" t="shared" si="11"/>
        <v>KC</v>
      </c>
      <c r="F751" s="51">
        <v>2000</v>
      </c>
      <c r="H751" s="51" t="s">
        <v>241</v>
      </c>
    </row>
    <row r="752" s="51" customFormat="1" spans="1:8">
      <c r="A752" s="57" t="s">
        <v>1727</v>
      </c>
      <c r="B752" s="58" t="s">
        <v>1728</v>
      </c>
      <c r="C752" s="64" t="s">
        <v>1729</v>
      </c>
      <c r="D752" s="59" t="s">
        <v>241</v>
      </c>
      <c r="E752" s="60" t="str">
        <f ca="1" t="shared" si="11"/>
        <v>KC</v>
      </c>
      <c r="F752" s="51">
        <v>2000</v>
      </c>
      <c r="H752" s="51" t="e">
        <v>#N/A</v>
      </c>
    </row>
    <row r="753" s="51" customFormat="1" spans="1:8">
      <c r="A753" s="57" t="s">
        <v>1730</v>
      </c>
      <c r="B753" s="58" t="s">
        <v>1731</v>
      </c>
      <c r="C753" s="64" t="s">
        <v>1732</v>
      </c>
      <c r="D753" s="59" t="s">
        <v>241</v>
      </c>
      <c r="E753" s="60" t="str">
        <f ca="1" t="shared" si="11"/>
        <v>KC</v>
      </c>
      <c r="F753" s="51">
        <v>2000</v>
      </c>
      <c r="H753" s="51" t="e">
        <v>#N/A</v>
      </c>
    </row>
    <row r="754" s="51" customFormat="1" spans="1:8">
      <c r="A754" s="57" t="s">
        <v>1733</v>
      </c>
      <c r="B754" s="58" t="s">
        <v>1734</v>
      </c>
      <c r="C754" s="64" t="s">
        <v>1735</v>
      </c>
      <c r="D754" s="59" t="s">
        <v>241</v>
      </c>
      <c r="E754" s="60" t="str">
        <f ca="1" t="shared" si="11"/>
        <v>KC</v>
      </c>
      <c r="F754" s="51">
        <v>2000</v>
      </c>
      <c r="H754" s="51" t="e">
        <v>#N/A</v>
      </c>
    </row>
    <row r="755" s="51" customFormat="1" spans="1:8">
      <c r="A755" s="57" t="s">
        <v>1736</v>
      </c>
      <c r="B755" s="58" t="s">
        <v>1737</v>
      </c>
      <c r="C755" s="64" t="s">
        <v>1738</v>
      </c>
      <c r="D755" s="59" t="s">
        <v>241</v>
      </c>
      <c r="E755" s="60" t="str">
        <f ca="1" t="shared" si="11"/>
        <v>KC</v>
      </c>
      <c r="F755" s="51">
        <v>2000</v>
      </c>
      <c r="H755" s="51" t="e">
        <v>#N/A</v>
      </c>
    </row>
    <row r="756" s="51" customFormat="1" spans="1:8">
      <c r="A756" s="57" t="s">
        <v>1739</v>
      </c>
      <c r="B756" s="115" t="s">
        <v>401</v>
      </c>
      <c r="C756" s="64" t="s">
        <v>1740</v>
      </c>
      <c r="D756" s="59" t="s">
        <v>241</v>
      </c>
      <c r="E756" s="60" t="str">
        <f ca="1" t="shared" si="11"/>
        <v>KC</v>
      </c>
      <c r="F756" s="51">
        <v>2000</v>
      </c>
      <c r="H756" s="51" t="e">
        <v>#N/A</v>
      </c>
    </row>
    <row r="757" s="51" customFormat="1" spans="1:8">
      <c r="A757" s="57" t="s">
        <v>1741</v>
      </c>
      <c r="B757" s="115" t="s">
        <v>1742</v>
      </c>
      <c r="C757" s="64" t="s">
        <v>1743</v>
      </c>
      <c r="D757" s="59" t="s">
        <v>241</v>
      </c>
      <c r="E757" s="60" t="str">
        <f ca="1" t="shared" si="11"/>
        <v>KC</v>
      </c>
      <c r="F757" s="51">
        <v>2000</v>
      </c>
      <c r="H757" s="51" t="s">
        <v>241</v>
      </c>
    </row>
    <row r="758" s="51" customFormat="1" spans="1:8">
      <c r="A758" s="57" t="s">
        <v>1744</v>
      </c>
      <c r="B758" s="115" t="s">
        <v>1745</v>
      </c>
      <c r="C758" s="64" t="s">
        <v>1746</v>
      </c>
      <c r="D758" s="59" t="s">
        <v>241</v>
      </c>
      <c r="E758" s="60" t="str">
        <f ca="1" t="shared" si="11"/>
        <v>KC</v>
      </c>
      <c r="F758" s="51">
        <v>2000</v>
      </c>
      <c r="H758" s="51" t="e">
        <v>#N/A</v>
      </c>
    </row>
    <row r="759" s="51" customFormat="1" spans="1:8">
      <c r="A759" s="57" t="s">
        <v>1747</v>
      </c>
      <c r="B759" s="115" t="s">
        <v>1748</v>
      </c>
      <c r="C759" s="64" t="s">
        <v>1749</v>
      </c>
      <c r="D759" s="59" t="s">
        <v>241</v>
      </c>
      <c r="E759" s="60" t="str">
        <f ca="1" t="shared" si="11"/>
        <v>KC</v>
      </c>
      <c r="F759" s="51">
        <v>2000</v>
      </c>
      <c r="H759" s="51" t="e">
        <v>#N/A</v>
      </c>
    </row>
    <row r="760" s="51" customFormat="1" spans="1:8">
      <c r="A760" s="57" t="s">
        <v>1750</v>
      </c>
      <c r="B760" s="115" t="s">
        <v>1751</v>
      </c>
      <c r="C760" s="64" t="s">
        <v>1752</v>
      </c>
      <c r="D760" s="59" t="s">
        <v>241</v>
      </c>
      <c r="E760" s="60" t="str">
        <f ca="1" t="shared" si="11"/>
        <v>KC</v>
      </c>
      <c r="F760" s="51">
        <v>2000</v>
      </c>
      <c r="H760" s="51" t="s">
        <v>241</v>
      </c>
    </row>
    <row r="761" s="51" customFormat="1" spans="1:8">
      <c r="A761" s="57" t="s">
        <v>1753</v>
      </c>
      <c r="B761" s="115" t="s">
        <v>1754</v>
      </c>
      <c r="C761" s="64" t="s">
        <v>1755</v>
      </c>
      <c r="D761" s="59" t="s">
        <v>241</v>
      </c>
      <c r="E761" s="60" t="str">
        <f ca="1" t="shared" si="11"/>
        <v>KC</v>
      </c>
      <c r="F761" s="51">
        <v>2000</v>
      </c>
      <c r="H761" s="51" t="e">
        <v>#N/A</v>
      </c>
    </row>
    <row r="762" s="51" customFormat="1" spans="1:8">
      <c r="A762" s="57" t="s">
        <v>1756</v>
      </c>
      <c r="B762" s="115" t="s">
        <v>1757</v>
      </c>
      <c r="C762" s="64" t="s">
        <v>1758</v>
      </c>
      <c r="D762" s="59" t="s">
        <v>241</v>
      </c>
      <c r="E762" s="60" t="str">
        <f ca="1" t="shared" si="11"/>
        <v>KC</v>
      </c>
      <c r="F762" s="51">
        <v>2000</v>
      </c>
      <c r="H762" s="51" t="e">
        <v>#N/A</v>
      </c>
    </row>
    <row r="763" spans="1:8">
      <c r="A763" s="57" t="s">
        <v>1759</v>
      </c>
      <c r="B763" s="115" t="s">
        <v>1760</v>
      </c>
      <c r="C763" s="64" t="s">
        <v>1761</v>
      </c>
      <c r="D763" s="59" t="s">
        <v>57</v>
      </c>
      <c r="E763" s="60" t="str">
        <f ca="1" t="shared" si="11"/>
        <v>LS</v>
      </c>
      <c r="F763" s="51">
        <v>2000</v>
      </c>
      <c r="H763" s="51">
        <v>0</v>
      </c>
    </row>
    <row r="764" spans="1:8">
      <c r="A764" s="57" t="s">
        <v>1762</v>
      </c>
      <c r="B764" s="115" t="s">
        <v>1760</v>
      </c>
      <c r="C764" s="64" t="s">
        <v>1763</v>
      </c>
      <c r="D764" s="59" t="s">
        <v>57</v>
      </c>
      <c r="E764" s="60" t="str">
        <f ca="1" t="shared" si="11"/>
        <v>LS</v>
      </c>
      <c r="F764" s="51">
        <v>2000</v>
      </c>
      <c r="H764" s="51">
        <v>0</v>
      </c>
    </row>
    <row r="765" spans="1:8">
      <c r="A765" s="57" t="s">
        <v>1764</v>
      </c>
      <c r="B765" s="115" t="s">
        <v>1765</v>
      </c>
      <c r="C765" s="64" t="s">
        <v>1766</v>
      </c>
      <c r="D765" s="59" t="s">
        <v>57</v>
      </c>
      <c r="E765" s="60" t="str">
        <f ca="1" t="shared" si="11"/>
        <v>ls</v>
      </c>
      <c r="F765" s="51">
        <v>2000</v>
      </c>
      <c r="H765" s="51" t="e">
        <v>#N/A</v>
      </c>
    </row>
    <row r="766" spans="1:8">
      <c r="A766" s="57" t="s">
        <v>1767</v>
      </c>
      <c r="B766" s="115" t="s">
        <v>1768</v>
      </c>
      <c r="C766" s="64" t="s">
        <v>1769</v>
      </c>
      <c r="D766" s="59" t="s">
        <v>791</v>
      </c>
      <c r="E766" s="60" t="str">
        <f ca="1" t="shared" si="11"/>
        <v>LC</v>
      </c>
      <c r="F766" s="51">
        <v>2000</v>
      </c>
      <c r="H766" s="51">
        <v>0</v>
      </c>
    </row>
    <row r="767" spans="1:8">
      <c r="A767" s="57" t="s">
        <v>1770</v>
      </c>
      <c r="B767" s="115" t="s">
        <v>1771</v>
      </c>
      <c r="C767" s="64" t="s">
        <v>1772</v>
      </c>
      <c r="D767" s="59" t="s">
        <v>791</v>
      </c>
      <c r="E767" s="60" t="str">
        <f ca="1" t="shared" si="11"/>
        <v>LC</v>
      </c>
      <c r="F767" s="51">
        <v>2000</v>
      </c>
      <c r="H767" s="51">
        <v>0</v>
      </c>
    </row>
    <row r="768" spans="1:8">
      <c r="A768" s="57" t="s">
        <v>1773</v>
      </c>
      <c r="B768" s="115" t="s">
        <v>1774</v>
      </c>
      <c r="C768" s="64" t="s">
        <v>1775</v>
      </c>
      <c r="D768" s="59" t="s">
        <v>791</v>
      </c>
      <c r="E768" s="60" t="str">
        <f ca="1" t="shared" si="11"/>
        <v>LC</v>
      </c>
      <c r="F768" s="51">
        <v>2000</v>
      </c>
      <c r="H768" s="51">
        <v>0</v>
      </c>
    </row>
    <row r="769" spans="1:8">
      <c r="A769" s="57" t="s">
        <v>1776</v>
      </c>
      <c r="B769" s="115" t="s">
        <v>1777</v>
      </c>
      <c r="C769" s="64" t="s">
        <v>1778</v>
      </c>
      <c r="D769" s="59" t="s">
        <v>791</v>
      </c>
      <c r="E769" s="60" t="str">
        <f ca="1" t="shared" si="11"/>
        <v>LC</v>
      </c>
      <c r="F769" s="51">
        <v>2000</v>
      </c>
      <c r="H769" s="51" t="e">
        <v>#N/A</v>
      </c>
    </row>
    <row r="770" spans="1:8">
      <c r="A770" s="57" t="s">
        <v>1779</v>
      </c>
      <c r="B770" s="115" t="s">
        <v>1780</v>
      </c>
      <c r="C770" s="64" t="s">
        <v>1781</v>
      </c>
      <c r="D770" s="59" t="s">
        <v>57</v>
      </c>
      <c r="E770" s="60" t="str">
        <f ca="1" t="shared" si="11"/>
        <v>LS</v>
      </c>
      <c r="F770" s="51">
        <v>2000</v>
      </c>
      <c r="H770" s="51">
        <v>0</v>
      </c>
    </row>
    <row r="771" spans="1:8">
      <c r="A771" s="57" t="s">
        <v>1782</v>
      </c>
      <c r="B771" s="115" t="s">
        <v>1783</v>
      </c>
      <c r="C771" s="64" t="s">
        <v>1784</v>
      </c>
      <c r="D771" s="59" t="s">
        <v>57</v>
      </c>
      <c r="E771" s="60" t="str">
        <f ca="1" t="shared" ref="E771:E834" si="12">LEFT(A771,2)</f>
        <v>LR</v>
      </c>
      <c r="F771" s="51">
        <v>2000</v>
      </c>
      <c r="H771" s="51">
        <v>0</v>
      </c>
    </row>
    <row r="772" spans="1:8">
      <c r="A772" s="57" t="s">
        <v>1785</v>
      </c>
      <c r="B772" s="115" t="s">
        <v>1786</v>
      </c>
      <c r="C772" s="64" t="s">
        <v>1787</v>
      </c>
      <c r="D772" s="59" t="s">
        <v>57</v>
      </c>
      <c r="E772" s="60" t="str">
        <f ca="1" t="shared" si="12"/>
        <v>LR</v>
      </c>
      <c r="F772" s="51">
        <v>2000</v>
      </c>
      <c r="H772" s="51">
        <v>0</v>
      </c>
    </row>
    <row r="773" spans="1:8">
      <c r="A773" s="57" t="s">
        <v>1788</v>
      </c>
      <c r="B773" s="115" t="s">
        <v>1789</v>
      </c>
      <c r="C773" s="64" t="s">
        <v>1790</v>
      </c>
      <c r="D773" s="59" t="s">
        <v>57</v>
      </c>
      <c r="E773" s="60" t="str">
        <f ca="1" t="shared" si="12"/>
        <v>LR</v>
      </c>
      <c r="F773" s="51">
        <v>2000</v>
      </c>
      <c r="H773" s="51">
        <v>0</v>
      </c>
    </row>
    <row r="774" s="51" customFormat="1" spans="1:8">
      <c r="A774" s="57" t="s">
        <v>1791</v>
      </c>
      <c r="B774" s="58" t="s">
        <v>1792</v>
      </c>
      <c r="C774" s="64" t="s">
        <v>1793</v>
      </c>
      <c r="D774" s="59" t="s">
        <v>507</v>
      </c>
      <c r="E774" s="60" t="str">
        <f ca="1" t="shared" si="12"/>
        <v>LT</v>
      </c>
      <c r="F774" s="51">
        <v>2000</v>
      </c>
      <c r="H774" s="51" t="e">
        <v>#N/A</v>
      </c>
    </row>
    <row r="775" s="51" customFormat="1" spans="1:8">
      <c r="A775" s="57" t="s">
        <v>1794</v>
      </c>
      <c r="B775" s="58" t="s">
        <v>1795</v>
      </c>
      <c r="C775" s="64" t="s">
        <v>1796</v>
      </c>
      <c r="D775" s="59" t="s">
        <v>57</v>
      </c>
      <c r="E775" s="60" t="str">
        <f ca="1" t="shared" si="12"/>
        <v>LS</v>
      </c>
      <c r="F775" s="51">
        <v>2000</v>
      </c>
      <c r="H775" s="51">
        <v>0</v>
      </c>
    </row>
    <row r="776" s="51" customFormat="1" spans="1:8">
      <c r="A776" s="57" t="s">
        <v>1797</v>
      </c>
      <c r="B776" s="58" t="s">
        <v>1798</v>
      </c>
      <c r="C776" s="64" t="s">
        <v>1799</v>
      </c>
      <c r="D776" s="59" t="s">
        <v>57</v>
      </c>
      <c r="E776" s="60" t="str">
        <f ca="1" t="shared" si="12"/>
        <v>LC</v>
      </c>
      <c r="F776" s="51">
        <v>2000</v>
      </c>
      <c r="H776" s="51">
        <v>0</v>
      </c>
    </row>
    <row r="777" s="51" customFormat="1" spans="1:8">
      <c r="A777" s="57" t="s">
        <v>1800</v>
      </c>
      <c r="B777" s="58" t="s">
        <v>1801</v>
      </c>
      <c r="C777" s="64" t="s">
        <v>1802</v>
      </c>
      <c r="D777" s="59" t="s">
        <v>1803</v>
      </c>
      <c r="E777" s="60" t="str">
        <f ca="1" t="shared" si="12"/>
        <v>DN</v>
      </c>
      <c r="F777" s="51">
        <v>2000</v>
      </c>
      <c r="H777" s="51">
        <v>0</v>
      </c>
    </row>
    <row r="778" s="51" customFormat="1" spans="1:8">
      <c r="A778" s="57" t="s">
        <v>1804</v>
      </c>
      <c r="B778" s="58" t="s">
        <v>1805</v>
      </c>
      <c r="C778" s="64" t="s">
        <v>1806</v>
      </c>
      <c r="D778" s="59" t="s">
        <v>57</v>
      </c>
      <c r="E778" s="60" t="str">
        <f ca="1" t="shared" si="12"/>
        <v>LX</v>
      </c>
      <c r="F778" s="51">
        <v>2000</v>
      </c>
      <c r="H778" s="51">
        <v>0</v>
      </c>
    </row>
    <row r="779" s="51" customFormat="1" spans="1:8">
      <c r="A779" s="57" t="s">
        <v>1807</v>
      </c>
      <c r="B779" s="58" t="s">
        <v>1808</v>
      </c>
      <c r="C779" s="64" t="s">
        <v>1809</v>
      </c>
      <c r="D779" s="59" t="s">
        <v>57</v>
      </c>
      <c r="E779" s="60" t="str">
        <f ca="1" t="shared" si="12"/>
        <v>LS</v>
      </c>
      <c r="F779" s="51">
        <v>2000</v>
      </c>
      <c r="H779" s="51">
        <v>0</v>
      </c>
    </row>
    <row r="780" s="51" customFormat="1" spans="1:8">
      <c r="A780" s="57" t="s">
        <v>1810</v>
      </c>
      <c r="B780" s="58" t="s">
        <v>1811</v>
      </c>
      <c r="C780" s="64" t="s">
        <v>1812</v>
      </c>
      <c r="D780" s="59" t="s">
        <v>57</v>
      </c>
      <c r="E780" s="60" t="str">
        <f ca="1" t="shared" si="12"/>
        <v>LF</v>
      </c>
      <c r="F780" s="51">
        <v>2000</v>
      </c>
      <c r="H780" s="51">
        <v>0</v>
      </c>
    </row>
    <row r="781" s="51" customFormat="1" spans="1:8">
      <c r="A781" s="57" t="s">
        <v>1813</v>
      </c>
      <c r="B781" s="58" t="s">
        <v>1811</v>
      </c>
      <c r="C781" s="64" t="s">
        <v>1814</v>
      </c>
      <c r="D781" s="59" t="s">
        <v>27</v>
      </c>
      <c r="E781" s="60" t="str">
        <f ca="1" t="shared" si="12"/>
        <v>LL</v>
      </c>
      <c r="F781" s="51">
        <v>2000</v>
      </c>
      <c r="H781" s="51">
        <v>0</v>
      </c>
    </row>
    <row r="782" spans="1:8">
      <c r="A782" s="57" t="s">
        <v>1815</v>
      </c>
      <c r="B782" s="115" t="s">
        <v>1816</v>
      </c>
      <c r="C782" s="64" t="s">
        <v>1817</v>
      </c>
      <c r="D782" s="59" t="s">
        <v>27</v>
      </c>
      <c r="E782" s="60" t="str">
        <f ca="1" t="shared" si="12"/>
        <v>LB</v>
      </c>
      <c r="F782" s="51">
        <v>2000</v>
      </c>
      <c r="H782" s="51">
        <v>0</v>
      </c>
    </row>
    <row r="783" spans="1:8">
      <c r="A783" s="57" t="s">
        <v>1818</v>
      </c>
      <c r="B783" s="115" t="s">
        <v>412</v>
      </c>
      <c r="C783" s="64" t="s">
        <v>1819</v>
      </c>
      <c r="D783" s="59" t="s">
        <v>942</v>
      </c>
      <c r="E783" s="60" t="str">
        <f ca="1" t="shared" si="12"/>
        <v>Lc</v>
      </c>
      <c r="F783" s="51">
        <v>2000</v>
      </c>
      <c r="H783" s="51" t="s">
        <v>942</v>
      </c>
    </row>
    <row r="784" spans="1:8">
      <c r="A784" s="57" t="s">
        <v>1820</v>
      </c>
      <c r="B784" s="115" t="s">
        <v>1821</v>
      </c>
      <c r="C784" s="64" t="s">
        <v>1822</v>
      </c>
      <c r="D784" s="59" t="s">
        <v>942</v>
      </c>
      <c r="E784" s="60" t="str">
        <f ca="1" t="shared" si="12"/>
        <v>Lc</v>
      </c>
      <c r="F784" s="51">
        <v>2000</v>
      </c>
      <c r="H784" s="51" t="s">
        <v>942</v>
      </c>
    </row>
    <row r="785" spans="1:8">
      <c r="A785" s="57" t="s">
        <v>1823</v>
      </c>
      <c r="B785" s="115" t="s">
        <v>1824</v>
      </c>
      <c r="C785" s="64" t="s">
        <v>1825</v>
      </c>
      <c r="D785" s="59" t="s">
        <v>942</v>
      </c>
      <c r="E785" s="60" t="str">
        <f ca="1" t="shared" si="12"/>
        <v>Lc</v>
      </c>
      <c r="F785" s="51">
        <v>2000</v>
      </c>
      <c r="H785" s="51" t="s">
        <v>942</v>
      </c>
    </row>
    <row r="786" spans="1:8">
      <c r="A786" s="57" t="s">
        <v>1826</v>
      </c>
      <c r="B786" s="115" t="s">
        <v>1827</v>
      </c>
      <c r="C786" s="64" t="s">
        <v>1828</v>
      </c>
      <c r="D786" s="59" t="s">
        <v>27</v>
      </c>
      <c r="E786" s="60" t="str">
        <f ca="1" t="shared" si="12"/>
        <v>LF</v>
      </c>
      <c r="F786" s="51">
        <v>2000</v>
      </c>
      <c r="H786" s="51">
        <v>0</v>
      </c>
    </row>
    <row r="787" spans="1:8">
      <c r="A787" s="57" t="s">
        <v>1829</v>
      </c>
      <c r="B787" s="115" t="s">
        <v>1827</v>
      </c>
      <c r="C787" s="64" t="s">
        <v>1830</v>
      </c>
      <c r="D787" s="59" t="s">
        <v>27</v>
      </c>
      <c r="E787" s="60" t="str">
        <f ca="1" t="shared" si="12"/>
        <v>LL</v>
      </c>
      <c r="F787" s="51">
        <v>2000</v>
      </c>
      <c r="H787" s="51" t="e">
        <v>#N/A</v>
      </c>
    </row>
    <row r="788" spans="1:8">
      <c r="A788" s="57" t="s">
        <v>1831</v>
      </c>
      <c r="B788" s="115" t="s">
        <v>872</v>
      </c>
      <c r="C788" s="64" t="s">
        <v>1832</v>
      </c>
      <c r="D788" s="59" t="s">
        <v>57</v>
      </c>
      <c r="E788" s="60" t="str">
        <f ca="1" t="shared" si="12"/>
        <v>LG</v>
      </c>
      <c r="F788" s="51">
        <v>2000</v>
      </c>
      <c r="H788" s="51">
        <v>0</v>
      </c>
    </row>
    <row r="789" spans="1:8">
      <c r="A789" s="57" t="s">
        <v>1833</v>
      </c>
      <c r="B789" s="115" t="s">
        <v>1834</v>
      </c>
      <c r="C789" s="64" t="s">
        <v>1835</v>
      </c>
      <c r="D789" s="59" t="s">
        <v>606</v>
      </c>
      <c r="E789" s="60" t="str">
        <f ca="1" t="shared" si="12"/>
        <v>PT</v>
      </c>
      <c r="F789" s="51">
        <v>2000</v>
      </c>
      <c r="H789" s="51" t="e">
        <v>#N/A</v>
      </c>
    </row>
    <row r="790" spans="1:8">
      <c r="A790" s="57" t="s">
        <v>1836</v>
      </c>
      <c r="B790" s="115" t="s">
        <v>1837</v>
      </c>
      <c r="C790" s="64" t="s">
        <v>1838</v>
      </c>
      <c r="D790" s="59" t="s">
        <v>606</v>
      </c>
      <c r="E790" s="60" t="str">
        <f ca="1" t="shared" si="12"/>
        <v>PH</v>
      </c>
      <c r="F790" s="51">
        <v>2000</v>
      </c>
      <c r="H790" s="51" t="e">
        <v>#N/A</v>
      </c>
    </row>
    <row r="791" spans="2:8">
      <c r="B791" s="79"/>
      <c r="C791" s="80"/>
      <c r="D791" s="81"/>
      <c r="E791" s="60" t="str">
        <f ca="1" t="shared" si="12"/>
        <v/>
      </c>
      <c r="H791" s="51">
        <v>0</v>
      </c>
    </row>
    <row r="792" spans="2:8">
      <c r="B792" s="82"/>
      <c r="C792" s="83"/>
      <c r="D792" s="84"/>
      <c r="E792" s="60" t="str">
        <f ca="1" t="shared" si="12"/>
        <v/>
      </c>
      <c r="H792" s="51">
        <v>0</v>
      </c>
    </row>
    <row r="793" spans="2:8">
      <c r="B793" s="82"/>
      <c r="C793" s="83"/>
      <c r="D793" s="84"/>
      <c r="E793" s="60" t="str">
        <f ca="1" t="shared" si="12"/>
        <v/>
      </c>
      <c r="H793" s="51">
        <v>0</v>
      </c>
    </row>
    <row r="794" spans="1:8">
      <c r="A794" s="83"/>
      <c r="B794" s="84"/>
      <c r="C794" s="85"/>
      <c r="D794" s="84"/>
      <c r="E794" s="60" t="str">
        <f ca="1" t="shared" si="12"/>
        <v/>
      </c>
      <c r="H794" s="51">
        <v>0</v>
      </c>
    </row>
    <row r="795" spans="1:8">
      <c r="A795" s="60" t="s">
        <v>1839</v>
      </c>
      <c r="B795" s="86"/>
      <c r="C795" s="60"/>
      <c r="D795" s="74"/>
      <c r="E795" s="60" t="str">
        <f ca="1" t="shared" si="12"/>
        <v>Bả</v>
      </c>
      <c r="H795" s="51" t="e">
        <v>#N/A</v>
      </c>
    </row>
    <row r="796" spans="1:8">
      <c r="A796" s="60"/>
      <c r="B796" s="86"/>
      <c r="C796" s="60"/>
      <c r="D796" s="73"/>
      <c r="E796" s="60" t="str">
        <f ca="1" t="shared" si="12"/>
        <v/>
      </c>
      <c r="H796" s="51">
        <v>0</v>
      </c>
    </row>
    <row r="797" spans="1:8">
      <c r="A797" s="75" t="s">
        <v>1066</v>
      </c>
      <c r="B797" s="77" t="s">
        <v>19</v>
      </c>
      <c r="C797" s="75" t="s">
        <v>1067</v>
      </c>
      <c r="D797" s="77" t="s">
        <v>21</v>
      </c>
      <c r="E797" s="60" t="str">
        <f ca="1" t="shared" si="12"/>
        <v>Mã</v>
      </c>
      <c r="H797" s="51" t="s">
        <v>1068</v>
      </c>
    </row>
    <row r="798" spans="1:8">
      <c r="A798" s="75">
        <v>1</v>
      </c>
      <c r="B798" s="77">
        <v>2</v>
      </c>
      <c r="C798" s="75">
        <v>3</v>
      </c>
      <c r="D798" s="77">
        <v>4</v>
      </c>
      <c r="E798" s="60" t="str">
        <f ca="1" t="shared" si="12"/>
        <v>1</v>
      </c>
      <c r="H798" s="51">
        <v>0</v>
      </c>
    </row>
    <row r="799" spans="1:8">
      <c r="A799" s="57" t="s">
        <v>1840</v>
      </c>
      <c r="B799" s="58" t="s">
        <v>1841</v>
      </c>
      <c r="C799" s="64" t="s">
        <v>1842</v>
      </c>
      <c r="D799" s="59" t="s">
        <v>1843</v>
      </c>
      <c r="E799" s="60" t="str">
        <f ca="1" t="shared" si="12"/>
        <v>TR</v>
      </c>
      <c r="F799" s="51">
        <v>1</v>
      </c>
      <c r="G799" s="51" t="s">
        <v>28</v>
      </c>
      <c r="H799" s="51" t="e">
        <v>#N/A</v>
      </c>
    </row>
    <row r="800" spans="1:8">
      <c r="A800" s="57" t="s">
        <v>1844</v>
      </c>
      <c r="B800" s="58" t="s">
        <v>1841</v>
      </c>
      <c r="C800" s="64" t="s">
        <v>1845</v>
      </c>
      <c r="D800" s="59" t="s">
        <v>1843</v>
      </c>
      <c r="E800" s="60" t="str">
        <f ca="1" t="shared" si="12"/>
        <v>TR</v>
      </c>
      <c r="F800" s="51">
        <v>1</v>
      </c>
      <c r="G800" s="51" t="s">
        <v>28</v>
      </c>
      <c r="H800" s="51" t="e">
        <v>#N/A</v>
      </c>
    </row>
    <row r="801" spans="1:8">
      <c r="A801" s="57" t="s">
        <v>1846</v>
      </c>
      <c r="B801" s="58" t="s">
        <v>1847</v>
      </c>
      <c r="C801" s="64" t="s">
        <v>1848</v>
      </c>
      <c r="D801" s="59" t="s">
        <v>1843</v>
      </c>
      <c r="E801" s="60" t="str">
        <f ca="1" t="shared" si="12"/>
        <v>TR</v>
      </c>
      <c r="F801" s="51">
        <v>1</v>
      </c>
      <c r="G801" s="51" t="s">
        <v>28</v>
      </c>
      <c r="H801" s="51" t="s">
        <v>1843</v>
      </c>
    </row>
    <row r="802" spans="1:8">
      <c r="A802" s="57" t="s">
        <v>1849</v>
      </c>
      <c r="B802" s="58" t="s">
        <v>1847</v>
      </c>
      <c r="C802" s="64" t="s">
        <v>1850</v>
      </c>
      <c r="D802" s="59" t="s">
        <v>1843</v>
      </c>
      <c r="E802" s="60" t="str">
        <f ca="1" t="shared" si="12"/>
        <v>TR</v>
      </c>
      <c r="F802" s="51">
        <v>1</v>
      </c>
      <c r="G802" s="51" t="s">
        <v>28</v>
      </c>
      <c r="H802" s="51" t="e">
        <v>#N/A</v>
      </c>
    </row>
    <row r="803" spans="1:8">
      <c r="A803" s="57" t="s">
        <v>1851</v>
      </c>
      <c r="B803" s="58" t="s">
        <v>1852</v>
      </c>
      <c r="C803" s="64" t="s">
        <v>1853</v>
      </c>
      <c r="D803" s="59" t="s">
        <v>1843</v>
      </c>
      <c r="E803" s="60" t="str">
        <f ca="1" t="shared" si="12"/>
        <v>TR</v>
      </c>
      <c r="F803" s="51">
        <v>1</v>
      </c>
      <c r="G803" s="51" t="s">
        <v>28</v>
      </c>
      <c r="H803" s="51" t="e">
        <v>#N/A</v>
      </c>
    </row>
    <row r="804" spans="1:8">
      <c r="A804" s="57" t="s">
        <v>1854</v>
      </c>
      <c r="B804" s="115" t="s">
        <v>1855</v>
      </c>
      <c r="C804" s="64" t="s">
        <v>1856</v>
      </c>
      <c r="D804" s="59" t="s">
        <v>1843</v>
      </c>
      <c r="E804" s="60" t="str">
        <f ca="1" t="shared" si="12"/>
        <v>T1</v>
      </c>
      <c r="F804" s="51">
        <v>1</v>
      </c>
      <c r="G804" s="51" t="s">
        <v>28</v>
      </c>
      <c r="H804" s="51" t="e">
        <v>#N/A</v>
      </c>
    </row>
    <row r="805" spans="1:8">
      <c r="A805" s="57" t="s">
        <v>1857</v>
      </c>
      <c r="B805" s="58" t="s">
        <v>1841</v>
      </c>
      <c r="C805" s="64" t="s">
        <v>1858</v>
      </c>
      <c r="D805" s="59" t="s">
        <v>1843</v>
      </c>
      <c r="E805" s="60" t="str">
        <f ca="1" t="shared" si="12"/>
        <v>TR</v>
      </c>
      <c r="F805" s="51">
        <v>1</v>
      </c>
      <c r="G805" s="51" t="s">
        <v>28</v>
      </c>
      <c r="H805" s="51" t="s">
        <v>1843</v>
      </c>
    </row>
    <row r="806" spans="1:8">
      <c r="A806" s="57" t="s">
        <v>1859</v>
      </c>
      <c r="B806" s="58" t="s">
        <v>1841</v>
      </c>
      <c r="C806" s="64" t="s">
        <v>1860</v>
      </c>
      <c r="D806" s="59" t="s">
        <v>1843</v>
      </c>
      <c r="E806" s="60" t="str">
        <f ca="1" t="shared" si="12"/>
        <v>TR</v>
      </c>
      <c r="F806" s="51">
        <v>1</v>
      </c>
      <c r="G806" s="51" t="s">
        <v>28</v>
      </c>
      <c r="H806" s="51" t="s">
        <v>1843</v>
      </c>
    </row>
    <row r="807" spans="1:8">
      <c r="A807" s="57" t="s">
        <v>1861</v>
      </c>
      <c r="B807" s="58" t="s">
        <v>1862</v>
      </c>
      <c r="C807" s="64" t="s">
        <v>1863</v>
      </c>
      <c r="D807" s="59" t="s">
        <v>1843</v>
      </c>
      <c r="E807" s="60" t="str">
        <f ca="1" t="shared" si="12"/>
        <v>TR</v>
      </c>
      <c r="F807" s="51">
        <v>1</v>
      </c>
      <c r="G807" s="51" t="s">
        <v>28</v>
      </c>
      <c r="H807" s="51" t="s">
        <v>1843</v>
      </c>
    </row>
    <row r="808" spans="1:8">
      <c r="A808" s="57" t="s">
        <v>1864</v>
      </c>
      <c r="B808" s="58" t="s">
        <v>1847</v>
      </c>
      <c r="C808" s="64" t="s">
        <v>1865</v>
      </c>
      <c r="D808" s="59" t="s">
        <v>1843</v>
      </c>
      <c r="E808" s="60" t="str">
        <f ca="1" t="shared" si="12"/>
        <v>TR</v>
      </c>
      <c r="F808" s="51">
        <v>1</v>
      </c>
      <c r="G808" s="51" t="s">
        <v>28</v>
      </c>
      <c r="H808" s="51" t="s">
        <v>1843</v>
      </c>
    </row>
    <row r="809" spans="1:8">
      <c r="A809" s="57" t="s">
        <v>1866</v>
      </c>
      <c r="B809" s="58" t="s">
        <v>1852</v>
      </c>
      <c r="C809" s="64" t="s">
        <v>1867</v>
      </c>
      <c r="D809" s="59" t="s">
        <v>1843</v>
      </c>
      <c r="E809" s="60" t="str">
        <f ca="1" t="shared" si="12"/>
        <v>TR</v>
      </c>
      <c r="F809" s="51">
        <v>1</v>
      </c>
      <c r="G809" s="51" t="s">
        <v>28</v>
      </c>
      <c r="H809" s="51" t="s">
        <v>1843</v>
      </c>
    </row>
    <row r="810" spans="1:8">
      <c r="A810" s="57" t="s">
        <v>1868</v>
      </c>
      <c r="B810" s="115" t="s">
        <v>1855</v>
      </c>
      <c r="C810" s="64" t="s">
        <v>1869</v>
      </c>
      <c r="D810" s="59" t="s">
        <v>1843</v>
      </c>
      <c r="E810" s="60" t="str">
        <f ca="1" t="shared" si="12"/>
        <v>T1</v>
      </c>
      <c r="F810" s="51">
        <v>1</v>
      </c>
      <c r="G810" s="51" t="s">
        <v>28</v>
      </c>
      <c r="H810" s="51" t="e">
        <v>#N/A</v>
      </c>
    </row>
    <row r="811" spans="1:8">
      <c r="A811" s="64" t="s">
        <v>1870</v>
      </c>
      <c r="B811" s="87" t="s">
        <v>1871</v>
      </c>
      <c r="C811" s="64" t="s">
        <v>1872</v>
      </c>
      <c r="D811" s="59" t="s">
        <v>1843</v>
      </c>
      <c r="E811" s="60" t="str">
        <f ca="1" t="shared" si="12"/>
        <v>TR</v>
      </c>
      <c r="F811" s="51">
        <v>1</v>
      </c>
      <c r="G811" s="51" t="s">
        <v>28</v>
      </c>
      <c r="H811" s="51" t="e">
        <v>#N/A</v>
      </c>
    </row>
    <row r="812" spans="1:8">
      <c r="A812" s="64" t="s">
        <v>1873</v>
      </c>
      <c r="B812" s="87" t="s">
        <v>1874</v>
      </c>
      <c r="C812" s="64" t="s">
        <v>1875</v>
      </c>
      <c r="D812" s="59" t="s">
        <v>1843</v>
      </c>
      <c r="E812" s="60" t="str">
        <f ca="1" t="shared" si="12"/>
        <v>TR</v>
      </c>
      <c r="F812" s="51">
        <v>1</v>
      </c>
      <c r="G812" s="51" t="s">
        <v>28</v>
      </c>
      <c r="H812" s="51" t="e">
        <v>#N/A</v>
      </c>
    </row>
    <row r="813" spans="1:8">
      <c r="A813" s="64" t="s">
        <v>1876</v>
      </c>
      <c r="B813" s="87" t="s">
        <v>1874</v>
      </c>
      <c r="C813" s="64" t="s">
        <v>1877</v>
      </c>
      <c r="D813" s="59" t="s">
        <v>1843</v>
      </c>
      <c r="E813" s="60" t="str">
        <f ca="1" t="shared" si="12"/>
        <v>TR</v>
      </c>
      <c r="F813" s="51">
        <v>1</v>
      </c>
      <c r="G813" s="51" t="s">
        <v>28</v>
      </c>
      <c r="H813" s="51" t="e">
        <v>#N/A</v>
      </c>
    </row>
    <row r="814" spans="1:8">
      <c r="A814" s="64" t="s">
        <v>1878</v>
      </c>
      <c r="B814" s="87" t="s">
        <v>1879</v>
      </c>
      <c r="C814" s="64" t="s">
        <v>1880</v>
      </c>
      <c r="D814" s="59" t="s">
        <v>1843</v>
      </c>
      <c r="E814" s="60" t="str">
        <f ca="1" t="shared" si="12"/>
        <v>TR</v>
      </c>
      <c r="F814" s="51">
        <v>1</v>
      </c>
      <c r="G814" s="51" t="s">
        <v>28</v>
      </c>
      <c r="H814" s="51" t="e">
        <v>#N/A</v>
      </c>
    </row>
    <row r="815" spans="1:8">
      <c r="A815" s="64" t="s">
        <v>1881</v>
      </c>
      <c r="B815" s="87" t="s">
        <v>1879</v>
      </c>
      <c r="C815" s="64" t="s">
        <v>1882</v>
      </c>
      <c r="D815" s="59" t="s">
        <v>1843</v>
      </c>
      <c r="E815" s="60" t="str">
        <f ca="1" t="shared" si="12"/>
        <v>TR</v>
      </c>
      <c r="F815" s="51">
        <v>1</v>
      </c>
      <c r="G815" s="51" t="s">
        <v>28</v>
      </c>
      <c r="H815" s="51" t="e">
        <v>#N/A</v>
      </c>
    </row>
    <row r="816" spans="1:8">
      <c r="A816" s="64" t="s">
        <v>1883</v>
      </c>
      <c r="B816" s="87" t="s">
        <v>1879</v>
      </c>
      <c r="C816" s="64" t="s">
        <v>1884</v>
      </c>
      <c r="D816" s="59" t="s">
        <v>1843</v>
      </c>
      <c r="E816" s="60" t="str">
        <f ca="1" t="shared" si="12"/>
        <v>TR</v>
      </c>
      <c r="F816" s="51">
        <v>1</v>
      </c>
      <c r="G816" s="51" t="s">
        <v>28</v>
      </c>
      <c r="H816" s="51" t="e">
        <v>#N/A</v>
      </c>
    </row>
    <row r="817" spans="1:8">
      <c r="A817" s="64" t="s">
        <v>1885</v>
      </c>
      <c r="B817" s="87" t="s">
        <v>1886</v>
      </c>
      <c r="C817" s="64" t="s">
        <v>1887</v>
      </c>
      <c r="D817" s="59" t="s">
        <v>1843</v>
      </c>
      <c r="E817" s="60" t="str">
        <f ca="1" t="shared" si="12"/>
        <v>TR</v>
      </c>
      <c r="F817" s="51">
        <v>1</v>
      </c>
      <c r="G817" s="51" t="s">
        <v>28</v>
      </c>
      <c r="H817" s="51" t="e">
        <v>#N/A</v>
      </c>
    </row>
    <row r="818" spans="1:8">
      <c r="A818" s="64" t="s">
        <v>1888</v>
      </c>
      <c r="B818" s="87" t="s">
        <v>1886</v>
      </c>
      <c r="C818" s="64" t="s">
        <v>1889</v>
      </c>
      <c r="D818" s="59" t="s">
        <v>1843</v>
      </c>
      <c r="E818" s="60" t="str">
        <f ca="1" t="shared" si="12"/>
        <v>TR</v>
      </c>
      <c r="F818" s="51">
        <v>1</v>
      </c>
      <c r="G818" s="51" t="s">
        <v>28</v>
      </c>
      <c r="H818" s="51" t="e">
        <v>#N/A</v>
      </c>
    </row>
    <row r="819" spans="1:8">
      <c r="A819" s="64" t="s">
        <v>1890</v>
      </c>
      <c r="B819" s="87" t="s">
        <v>1891</v>
      </c>
      <c r="C819" s="64" t="s">
        <v>1892</v>
      </c>
      <c r="D819" s="59" t="s">
        <v>1843</v>
      </c>
      <c r="E819" s="60" t="str">
        <f ca="1" t="shared" si="12"/>
        <v>TR</v>
      </c>
      <c r="F819" s="51">
        <v>1</v>
      </c>
      <c r="G819" s="51" t="s">
        <v>28</v>
      </c>
      <c r="H819" s="51" t="e">
        <v>#N/A</v>
      </c>
    </row>
    <row r="820" spans="1:8">
      <c r="A820" s="64" t="s">
        <v>1893</v>
      </c>
      <c r="B820" s="87" t="s">
        <v>1891</v>
      </c>
      <c r="C820" s="64" t="s">
        <v>1894</v>
      </c>
      <c r="D820" s="59" t="s">
        <v>1843</v>
      </c>
      <c r="E820" s="60" t="str">
        <f ca="1" t="shared" si="12"/>
        <v>TR</v>
      </c>
      <c r="F820" s="51">
        <v>1</v>
      </c>
      <c r="G820" s="51" t="s">
        <v>28</v>
      </c>
      <c r="H820" s="51" t="e">
        <v>#N/A</v>
      </c>
    </row>
    <row r="821" spans="1:8">
      <c r="A821" s="64" t="s">
        <v>1895</v>
      </c>
      <c r="B821" s="87" t="s">
        <v>1891</v>
      </c>
      <c r="C821" s="64" t="s">
        <v>1896</v>
      </c>
      <c r="D821" s="59" t="s">
        <v>1843</v>
      </c>
      <c r="E821" s="60" t="str">
        <f ca="1" t="shared" si="12"/>
        <v>TR</v>
      </c>
      <c r="F821" s="51">
        <v>1</v>
      </c>
      <c r="G821" s="51" t="s">
        <v>28</v>
      </c>
      <c r="H821" s="51" t="e">
        <v>#N/A</v>
      </c>
    </row>
    <row r="822" spans="1:8">
      <c r="A822" s="64" t="s">
        <v>1897</v>
      </c>
      <c r="B822" s="87" t="s">
        <v>1891</v>
      </c>
      <c r="C822" s="64" t="s">
        <v>1898</v>
      </c>
      <c r="D822" s="59" t="s">
        <v>1843</v>
      </c>
      <c r="E822" s="60" t="str">
        <f ca="1" t="shared" si="12"/>
        <v>TR</v>
      </c>
      <c r="F822" s="51">
        <v>1</v>
      </c>
      <c r="G822" s="51" t="s">
        <v>28</v>
      </c>
      <c r="H822" s="51" t="e">
        <v>#N/A</v>
      </c>
    </row>
    <row r="823" spans="1:8">
      <c r="A823" s="64" t="s">
        <v>1899</v>
      </c>
      <c r="B823" s="87" t="s">
        <v>1891</v>
      </c>
      <c r="C823" s="64" t="s">
        <v>1900</v>
      </c>
      <c r="D823" s="59" t="s">
        <v>1843</v>
      </c>
      <c r="E823" s="60" t="str">
        <f ca="1" t="shared" si="12"/>
        <v>TR</v>
      </c>
      <c r="F823" s="51">
        <v>1</v>
      </c>
      <c r="G823" s="51" t="s">
        <v>28</v>
      </c>
      <c r="H823" s="51" t="e">
        <v>#N/A</v>
      </c>
    </row>
    <row r="824" spans="1:8">
      <c r="A824" s="64" t="s">
        <v>1901</v>
      </c>
      <c r="B824" s="87" t="s">
        <v>1891</v>
      </c>
      <c r="C824" s="64" t="s">
        <v>1902</v>
      </c>
      <c r="D824" s="59" t="s">
        <v>1843</v>
      </c>
      <c r="E824" s="60" t="str">
        <f ca="1" t="shared" si="12"/>
        <v>TR</v>
      </c>
      <c r="F824" s="51">
        <v>1</v>
      </c>
      <c r="G824" s="51" t="s">
        <v>28</v>
      </c>
      <c r="H824" s="51" t="e">
        <v>#N/A</v>
      </c>
    </row>
    <row r="825" spans="1:8">
      <c r="A825" s="64" t="s">
        <v>1903</v>
      </c>
      <c r="B825" s="87" t="s">
        <v>1891</v>
      </c>
      <c r="C825" s="64" t="s">
        <v>1904</v>
      </c>
      <c r="D825" s="59" t="s">
        <v>1843</v>
      </c>
      <c r="E825" s="60" t="str">
        <f ca="1" t="shared" si="12"/>
        <v>TR</v>
      </c>
      <c r="F825" s="51">
        <v>1</v>
      </c>
      <c r="G825" s="51" t="s">
        <v>28</v>
      </c>
      <c r="H825" s="51" t="e">
        <v>#N/A</v>
      </c>
    </row>
    <row r="826" spans="1:8">
      <c r="A826" s="64" t="s">
        <v>1905</v>
      </c>
      <c r="B826" s="87" t="s">
        <v>1891</v>
      </c>
      <c r="C826" s="64" t="s">
        <v>1906</v>
      </c>
      <c r="D826" s="59" t="s">
        <v>1843</v>
      </c>
      <c r="E826" s="60" t="str">
        <f ca="1" t="shared" si="12"/>
        <v>TR</v>
      </c>
      <c r="F826" s="51">
        <v>1</v>
      </c>
      <c r="G826" s="51" t="s">
        <v>28</v>
      </c>
      <c r="H826" s="51" t="e">
        <v>#N/A</v>
      </c>
    </row>
    <row r="827" spans="1:8">
      <c r="A827" s="64" t="s">
        <v>1907</v>
      </c>
      <c r="B827" s="87" t="s">
        <v>1891</v>
      </c>
      <c r="C827" s="64" t="s">
        <v>1908</v>
      </c>
      <c r="D827" s="59" t="s">
        <v>1843</v>
      </c>
      <c r="E827" s="60" t="str">
        <f ca="1" t="shared" si="12"/>
        <v>TR</v>
      </c>
      <c r="F827" s="51">
        <v>1</v>
      </c>
      <c r="G827" s="51" t="s">
        <v>28</v>
      </c>
      <c r="H827" s="51" t="e">
        <v>#N/A</v>
      </c>
    </row>
    <row r="828" s="51" customFormat="1" spans="1:8">
      <c r="A828" s="57" t="s">
        <v>1909</v>
      </c>
      <c r="B828" s="58" t="s">
        <v>1910</v>
      </c>
      <c r="C828" s="64" t="s">
        <v>1911</v>
      </c>
      <c r="D828" s="59" t="s">
        <v>1843</v>
      </c>
      <c r="E828" s="60" t="str">
        <f ca="1" t="shared" si="12"/>
        <v>TR</v>
      </c>
      <c r="F828" s="51">
        <v>1</v>
      </c>
      <c r="G828" s="51" t="s">
        <v>28</v>
      </c>
      <c r="H828" s="51" t="s">
        <v>1843</v>
      </c>
    </row>
    <row r="829" s="51" customFormat="1" spans="1:8">
      <c r="A829" s="57" t="s">
        <v>1912</v>
      </c>
      <c r="B829" s="58" t="s">
        <v>1913</v>
      </c>
      <c r="C829" s="64" t="s">
        <v>1914</v>
      </c>
      <c r="D829" s="59" t="s">
        <v>1843</v>
      </c>
      <c r="E829" s="60" t="str">
        <f ca="1" t="shared" si="12"/>
        <v>TR</v>
      </c>
      <c r="F829" s="51">
        <v>1</v>
      </c>
      <c r="G829" s="51" t="s">
        <v>28</v>
      </c>
      <c r="H829" s="51" t="s">
        <v>1843</v>
      </c>
    </row>
    <row r="830" s="51" customFormat="1" spans="1:8">
      <c r="A830" s="57" t="s">
        <v>1915</v>
      </c>
      <c r="B830" s="58" t="s">
        <v>1913</v>
      </c>
      <c r="C830" s="64" t="s">
        <v>1916</v>
      </c>
      <c r="D830" s="59" t="s">
        <v>1843</v>
      </c>
      <c r="E830" s="60" t="str">
        <f ca="1" t="shared" si="12"/>
        <v>TR</v>
      </c>
      <c r="F830" s="51">
        <v>1</v>
      </c>
      <c r="G830" s="51" t="s">
        <v>28</v>
      </c>
      <c r="H830" s="51" t="s">
        <v>1843</v>
      </c>
    </row>
    <row r="831" s="51" customFormat="1" spans="1:8">
      <c r="A831" s="57" t="s">
        <v>1917</v>
      </c>
      <c r="B831" s="58" t="s">
        <v>1918</v>
      </c>
      <c r="C831" s="64" t="s">
        <v>1919</v>
      </c>
      <c r="D831" s="59" t="s">
        <v>1843</v>
      </c>
      <c r="E831" s="60" t="str">
        <f ca="1" t="shared" si="12"/>
        <v>TR</v>
      </c>
      <c r="F831" s="51">
        <v>1</v>
      </c>
      <c r="G831" s="51" t="s">
        <v>28</v>
      </c>
      <c r="H831" s="51" t="s">
        <v>1843</v>
      </c>
    </row>
    <row r="832" s="51" customFormat="1" spans="1:8">
      <c r="A832" s="57" t="s">
        <v>1920</v>
      </c>
      <c r="B832" s="58" t="s">
        <v>1921</v>
      </c>
      <c r="C832" s="64" t="s">
        <v>1922</v>
      </c>
      <c r="D832" s="59" t="s">
        <v>1843</v>
      </c>
      <c r="E832" s="60" t="str">
        <f ca="1" t="shared" si="12"/>
        <v>TR</v>
      </c>
      <c r="F832" s="51">
        <v>1</v>
      </c>
      <c r="G832" s="51" t="s">
        <v>28</v>
      </c>
      <c r="H832" s="51" t="s">
        <v>1843</v>
      </c>
    </row>
    <row r="833" s="51" customFormat="1" spans="1:8">
      <c r="A833" s="57" t="s">
        <v>1923</v>
      </c>
      <c r="B833" s="58" t="s">
        <v>1924</v>
      </c>
      <c r="C833" s="64" t="s">
        <v>1925</v>
      </c>
      <c r="D833" s="59" t="s">
        <v>1843</v>
      </c>
      <c r="E833" s="60" t="str">
        <f ca="1" t="shared" si="12"/>
        <v>TR</v>
      </c>
      <c r="F833" s="51">
        <v>1</v>
      </c>
      <c r="G833" s="51" t="s">
        <v>28</v>
      </c>
      <c r="H833" s="51" t="s">
        <v>1843</v>
      </c>
    </row>
    <row r="834" s="51" customFormat="1" spans="1:8">
      <c r="A834" s="57" t="s">
        <v>1926</v>
      </c>
      <c r="B834" s="58" t="s">
        <v>1924</v>
      </c>
      <c r="C834" s="64" t="s">
        <v>1927</v>
      </c>
      <c r="D834" s="59" t="s">
        <v>1843</v>
      </c>
      <c r="E834" s="60" t="str">
        <f ca="1" t="shared" si="12"/>
        <v>TR</v>
      </c>
      <c r="F834" s="51">
        <v>1</v>
      </c>
      <c r="G834" s="51" t="s">
        <v>28</v>
      </c>
      <c r="H834" s="51" t="s">
        <v>1843</v>
      </c>
    </row>
    <row r="835" s="51" customFormat="1" spans="1:8">
      <c r="A835" s="57" t="s">
        <v>1928</v>
      </c>
      <c r="B835" s="58" t="s">
        <v>1924</v>
      </c>
      <c r="C835" s="64" t="s">
        <v>1929</v>
      </c>
      <c r="D835" s="59" t="s">
        <v>1843</v>
      </c>
      <c r="E835" s="60" t="str">
        <f ca="1" t="shared" ref="E835:E898" si="13">LEFT(A835,2)</f>
        <v>TR</v>
      </c>
      <c r="F835" s="51">
        <v>1</v>
      </c>
      <c r="G835" s="51" t="s">
        <v>28</v>
      </c>
      <c r="H835" s="51" t="s">
        <v>1843</v>
      </c>
    </row>
    <row r="836" s="51" customFormat="1" spans="1:8">
      <c r="A836" s="57" t="s">
        <v>1930</v>
      </c>
      <c r="B836" s="58" t="s">
        <v>1931</v>
      </c>
      <c r="C836" s="64" t="s">
        <v>1932</v>
      </c>
      <c r="D836" s="59" t="s">
        <v>1843</v>
      </c>
      <c r="E836" s="60" t="str">
        <f ca="1" t="shared" si="13"/>
        <v>TR</v>
      </c>
      <c r="F836" s="51">
        <v>1</v>
      </c>
      <c r="G836" s="51" t="s">
        <v>28</v>
      </c>
      <c r="H836" s="51" t="e">
        <v>#N/A</v>
      </c>
    </row>
    <row r="837" s="51" customFormat="1" spans="1:8">
      <c r="A837" s="57" t="s">
        <v>1933</v>
      </c>
      <c r="B837" s="58" t="s">
        <v>1931</v>
      </c>
      <c r="C837" s="64" t="s">
        <v>1934</v>
      </c>
      <c r="D837" s="59" t="s">
        <v>1843</v>
      </c>
      <c r="E837" s="60" t="str">
        <f ca="1" t="shared" si="13"/>
        <v>TR</v>
      </c>
      <c r="F837" s="51">
        <v>1</v>
      </c>
      <c r="G837" s="51" t="s">
        <v>28</v>
      </c>
      <c r="H837" s="51" t="s">
        <v>1843</v>
      </c>
    </row>
    <row r="838" s="51" customFormat="1" spans="1:8">
      <c r="A838" s="57" t="s">
        <v>1935</v>
      </c>
      <c r="B838" s="58" t="s">
        <v>1931</v>
      </c>
      <c r="C838" s="64" t="s">
        <v>1936</v>
      </c>
      <c r="D838" s="59" t="s">
        <v>1843</v>
      </c>
      <c r="E838" s="60" t="str">
        <f ca="1" t="shared" si="13"/>
        <v>TR</v>
      </c>
      <c r="F838" s="51">
        <v>1</v>
      </c>
      <c r="G838" s="51" t="s">
        <v>28</v>
      </c>
      <c r="H838" s="51" t="e">
        <v>#N/A</v>
      </c>
    </row>
    <row r="839" s="51" customFormat="1" spans="1:8">
      <c r="A839" s="57" t="s">
        <v>1937</v>
      </c>
      <c r="B839" s="58" t="s">
        <v>1931</v>
      </c>
      <c r="C839" s="64" t="s">
        <v>1938</v>
      </c>
      <c r="D839" s="59" t="s">
        <v>1843</v>
      </c>
      <c r="E839" s="60" t="str">
        <f ca="1" t="shared" si="13"/>
        <v>TR</v>
      </c>
      <c r="F839" s="51">
        <v>1</v>
      </c>
      <c r="G839" s="51" t="s">
        <v>28</v>
      </c>
      <c r="H839" s="51" t="e">
        <v>#N/A</v>
      </c>
    </row>
    <row r="840" s="51" customFormat="1" spans="1:8">
      <c r="A840" s="57" t="s">
        <v>1939</v>
      </c>
      <c r="B840" s="58" t="s">
        <v>1931</v>
      </c>
      <c r="C840" s="64" t="s">
        <v>1940</v>
      </c>
      <c r="D840" s="59" t="s">
        <v>1843</v>
      </c>
      <c r="E840" s="60" t="str">
        <f ca="1" t="shared" si="13"/>
        <v>TR</v>
      </c>
      <c r="F840" s="51">
        <v>1</v>
      </c>
      <c r="G840" s="51" t="s">
        <v>28</v>
      </c>
      <c r="H840" s="51" t="e">
        <v>#N/A</v>
      </c>
    </row>
    <row r="841" s="51" customFormat="1" spans="1:8">
      <c r="A841" s="57" t="s">
        <v>1941</v>
      </c>
      <c r="B841" s="58" t="s">
        <v>1931</v>
      </c>
      <c r="C841" s="64" t="s">
        <v>1942</v>
      </c>
      <c r="D841" s="59" t="s">
        <v>1843</v>
      </c>
      <c r="E841" s="60" t="str">
        <f ca="1" t="shared" si="13"/>
        <v>TR</v>
      </c>
      <c r="F841" s="51">
        <v>1</v>
      </c>
      <c r="G841" s="51" t="s">
        <v>28</v>
      </c>
      <c r="H841" s="51" t="s">
        <v>1843</v>
      </c>
    </row>
    <row r="842" s="51" customFormat="1" spans="1:8">
      <c r="A842" s="57" t="s">
        <v>1943</v>
      </c>
      <c r="B842" s="58" t="s">
        <v>1931</v>
      </c>
      <c r="C842" s="64" t="s">
        <v>1944</v>
      </c>
      <c r="D842" s="59" t="s">
        <v>1843</v>
      </c>
      <c r="E842" s="60" t="str">
        <f ca="1" t="shared" si="13"/>
        <v>TR</v>
      </c>
      <c r="F842" s="51">
        <v>1</v>
      </c>
      <c r="G842" s="51" t="s">
        <v>28</v>
      </c>
      <c r="H842" s="51" t="e">
        <v>#N/A</v>
      </c>
    </row>
    <row r="843" s="51" customFormat="1" spans="1:8">
      <c r="A843" s="57" t="s">
        <v>1945</v>
      </c>
      <c r="B843" s="58" t="s">
        <v>1931</v>
      </c>
      <c r="C843" s="64" t="s">
        <v>1946</v>
      </c>
      <c r="D843" s="59" t="s">
        <v>1843</v>
      </c>
      <c r="E843" s="60" t="str">
        <f ca="1" t="shared" si="13"/>
        <v>TR</v>
      </c>
      <c r="F843" s="51">
        <v>1</v>
      </c>
      <c r="G843" s="51" t="s">
        <v>28</v>
      </c>
      <c r="H843" s="51" t="e">
        <v>#N/A</v>
      </c>
    </row>
    <row r="844" s="51" customFormat="1" spans="1:8">
      <c r="A844" s="57" t="s">
        <v>1947</v>
      </c>
      <c r="B844" s="58" t="s">
        <v>1931</v>
      </c>
      <c r="C844" s="64" t="s">
        <v>1948</v>
      </c>
      <c r="D844" s="59" t="s">
        <v>1843</v>
      </c>
      <c r="E844" s="60" t="str">
        <f ca="1" t="shared" si="13"/>
        <v>TR</v>
      </c>
      <c r="F844" s="51">
        <v>1</v>
      </c>
      <c r="G844" s="51" t="s">
        <v>28</v>
      </c>
      <c r="H844" s="51" t="e">
        <v>#N/A</v>
      </c>
    </row>
    <row r="845" spans="1:8">
      <c r="A845" s="57" t="s">
        <v>1949</v>
      </c>
      <c r="B845" s="120" t="s">
        <v>1950</v>
      </c>
      <c r="C845" s="57" t="s">
        <v>1951</v>
      </c>
      <c r="D845" s="59" t="s">
        <v>27</v>
      </c>
      <c r="E845" s="60" t="str">
        <f ca="1" t="shared" si="13"/>
        <v>FC</v>
      </c>
      <c r="F845" s="51">
        <v>3</v>
      </c>
      <c r="G845" s="51" t="s">
        <v>28</v>
      </c>
      <c r="H845" s="51" t="e">
        <v>#N/A</v>
      </c>
    </row>
    <row r="846" spans="1:8">
      <c r="A846" s="57" t="s">
        <v>1952</v>
      </c>
      <c r="B846" s="120" t="s">
        <v>1950</v>
      </c>
      <c r="C846" s="57" t="s">
        <v>1953</v>
      </c>
      <c r="D846" s="59" t="s">
        <v>27</v>
      </c>
      <c r="E846" s="60" t="str">
        <f ca="1" t="shared" si="13"/>
        <v>FC</v>
      </c>
      <c r="F846" s="51">
        <v>3</v>
      </c>
      <c r="G846" s="51" t="s">
        <v>28</v>
      </c>
      <c r="H846" s="51" t="e">
        <v>#N/A</v>
      </c>
    </row>
    <row r="847" spans="1:8">
      <c r="A847" s="57" t="s">
        <v>1954</v>
      </c>
      <c r="B847" s="120" t="s">
        <v>1955</v>
      </c>
      <c r="C847" s="57" t="s">
        <v>1951</v>
      </c>
      <c r="D847" s="59" t="s">
        <v>27</v>
      </c>
      <c r="E847" s="60" t="str">
        <f ca="1" t="shared" si="13"/>
        <v>FC</v>
      </c>
      <c r="F847" s="51">
        <v>3</v>
      </c>
      <c r="G847" s="51" t="s">
        <v>28</v>
      </c>
      <c r="H847" s="51">
        <v>0</v>
      </c>
    </row>
    <row r="848" spans="1:8">
      <c r="A848" s="57" t="s">
        <v>1956</v>
      </c>
      <c r="B848" s="120" t="s">
        <v>1827</v>
      </c>
      <c r="C848" s="57" t="s">
        <v>1953</v>
      </c>
      <c r="D848" s="59" t="s">
        <v>27</v>
      </c>
      <c r="E848" s="60" t="str">
        <f ca="1" t="shared" si="13"/>
        <v>FC</v>
      </c>
      <c r="F848" s="51">
        <v>3</v>
      </c>
      <c r="G848" s="51" t="s">
        <v>28</v>
      </c>
      <c r="H848" s="51">
        <v>0</v>
      </c>
    </row>
    <row r="849" spans="1:8">
      <c r="A849" s="57" t="s">
        <v>1957</v>
      </c>
      <c r="B849" s="120" t="s">
        <v>1950</v>
      </c>
      <c r="C849" s="57" t="s">
        <v>1958</v>
      </c>
      <c r="D849" s="59" t="s">
        <v>27</v>
      </c>
      <c r="E849" s="60" t="str">
        <f ca="1" t="shared" si="13"/>
        <v>lb</v>
      </c>
      <c r="F849" s="51">
        <v>3</v>
      </c>
      <c r="G849" s="51" t="s">
        <v>28</v>
      </c>
      <c r="H849" s="51" t="e">
        <v>#N/A</v>
      </c>
    </row>
    <row r="850" spans="1:8">
      <c r="A850" s="57" t="s">
        <v>1959</v>
      </c>
      <c r="B850" s="120" t="s">
        <v>1950</v>
      </c>
      <c r="C850" s="57" t="s">
        <v>1960</v>
      </c>
      <c r="D850" s="59" t="s">
        <v>27</v>
      </c>
      <c r="E850" s="60" t="str">
        <f ca="1" t="shared" si="13"/>
        <v>LB</v>
      </c>
      <c r="F850" s="51">
        <v>3</v>
      </c>
      <c r="G850" s="51" t="s">
        <v>28</v>
      </c>
      <c r="H850" s="51" t="e">
        <v>#N/A</v>
      </c>
    </row>
    <row r="851" spans="1:8">
      <c r="A851" s="57" t="s">
        <v>1961</v>
      </c>
      <c r="B851" s="120" t="s">
        <v>1827</v>
      </c>
      <c r="C851" s="57" t="s">
        <v>1958</v>
      </c>
      <c r="D851" s="59" t="s">
        <v>27</v>
      </c>
      <c r="E851" s="60" t="str">
        <f ca="1" t="shared" si="13"/>
        <v>lb</v>
      </c>
      <c r="F851" s="51">
        <v>3</v>
      </c>
      <c r="G851" s="51" t="s">
        <v>28</v>
      </c>
      <c r="H851" s="51">
        <v>0</v>
      </c>
    </row>
    <row r="852" spans="1:8">
      <c r="A852" s="57" t="s">
        <v>1962</v>
      </c>
      <c r="B852" s="120" t="s">
        <v>1827</v>
      </c>
      <c r="C852" s="57" t="s">
        <v>1960</v>
      </c>
      <c r="D852" s="59" t="s">
        <v>27</v>
      </c>
      <c r="E852" s="60" t="str">
        <f ca="1" t="shared" si="13"/>
        <v>LB</v>
      </c>
      <c r="F852" s="51">
        <v>3</v>
      </c>
      <c r="G852" s="51" t="s">
        <v>28</v>
      </c>
      <c r="H852" s="51">
        <v>0</v>
      </c>
    </row>
    <row r="853" spans="1:8">
      <c r="A853" s="57" t="s">
        <v>1963</v>
      </c>
      <c r="B853" s="121" t="s">
        <v>1964</v>
      </c>
      <c r="C853" s="57" t="s">
        <v>1965</v>
      </c>
      <c r="D853" s="59" t="s">
        <v>57</v>
      </c>
      <c r="E853" s="60" t="str">
        <f ca="1" t="shared" si="13"/>
        <v>DS</v>
      </c>
      <c r="F853" s="51">
        <v>50</v>
      </c>
      <c r="G853" s="51" t="s">
        <v>28</v>
      </c>
      <c r="H853" s="51">
        <v>0</v>
      </c>
    </row>
    <row r="854" spans="1:8">
      <c r="A854" s="57" t="s">
        <v>1966</v>
      </c>
      <c r="B854" s="121" t="s">
        <v>1964</v>
      </c>
      <c r="C854" s="57" t="s">
        <v>1967</v>
      </c>
      <c r="D854" s="59" t="s">
        <v>57</v>
      </c>
      <c r="E854" s="60" t="str">
        <f ca="1" t="shared" si="13"/>
        <v>DS</v>
      </c>
      <c r="F854" s="51">
        <v>50</v>
      </c>
      <c r="G854" s="51" t="s">
        <v>28</v>
      </c>
      <c r="H854" s="51">
        <v>0</v>
      </c>
    </row>
    <row r="855" spans="1:8">
      <c r="A855" s="57" t="s">
        <v>1968</v>
      </c>
      <c r="B855" s="121" t="s">
        <v>1969</v>
      </c>
      <c r="C855" s="57" t="s">
        <v>1965</v>
      </c>
      <c r="D855" s="59" t="s">
        <v>57</v>
      </c>
      <c r="E855" s="60" t="str">
        <f ca="1" t="shared" si="13"/>
        <v>DS</v>
      </c>
      <c r="F855" s="51">
        <v>50</v>
      </c>
      <c r="G855" s="51" t="s">
        <v>28</v>
      </c>
      <c r="H855" s="51" t="e">
        <v>#N/A</v>
      </c>
    </row>
    <row r="856" spans="1:8">
      <c r="A856" s="57" t="s">
        <v>1970</v>
      </c>
      <c r="B856" s="121" t="s">
        <v>1971</v>
      </c>
      <c r="C856" s="57" t="s">
        <v>1967</v>
      </c>
      <c r="D856" s="59" t="s">
        <v>57</v>
      </c>
      <c r="E856" s="60" t="str">
        <f ca="1" t="shared" si="13"/>
        <v>DS</v>
      </c>
      <c r="F856" s="51">
        <v>50</v>
      </c>
      <c r="G856" s="51" t="s">
        <v>28</v>
      </c>
      <c r="H856" s="51" t="e">
        <v>#N/A</v>
      </c>
    </row>
    <row r="857" spans="1:8">
      <c r="A857" s="57" t="s">
        <v>1972</v>
      </c>
      <c r="B857" s="121" t="s">
        <v>1973</v>
      </c>
      <c r="C857" s="57" t="s">
        <v>1974</v>
      </c>
      <c r="D857" s="59" t="s">
        <v>57</v>
      </c>
      <c r="E857" s="60" t="str">
        <f ca="1" t="shared" si="13"/>
        <v>LB</v>
      </c>
      <c r="F857" s="51">
        <v>50</v>
      </c>
      <c r="G857" s="51" t="s">
        <v>28</v>
      </c>
      <c r="H857" s="51">
        <v>0</v>
      </c>
    </row>
    <row r="858" spans="1:8">
      <c r="A858" s="57" t="s">
        <v>1975</v>
      </c>
      <c r="B858" s="121" t="s">
        <v>1973</v>
      </c>
      <c r="C858" s="57" t="s">
        <v>1976</v>
      </c>
      <c r="D858" s="59" t="s">
        <v>57</v>
      </c>
      <c r="E858" s="60" t="str">
        <f ca="1" t="shared" si="13"/>
        <v>LB</v>
      </c>
      <c r="F858" s="51">
        <v>50</v>
      </c>
      <c r="G858" s="51" t="s">
        <v>28</v>
      </c>
      <c r="H858" s="51" t="e">
        <v>#N/A</v>
      </c>
    </row>
    <row r="859" spans="1:8">
      <c r="A859" s="57" t="s">
        <v>1977</v>
      </c>
      <c r="B859" s="121" t="s">
        <v>1978</v>
      </c>
      <c r="C859" s="57" t="s">
        <v>1979</v>
      </c>
      <c r="D859" s="59" t="s">
        <v>57</v>
      </c>
      <c r="E859" s="60" t="str">
        <f ca="1" t="shared" si="13"/>
        <v>RE</v>
      </c>
      <c r="F859" s="51">
        <v>50</v>
      </c>
      <c r="G859" s="51" t="s">
        <v>28</v>
      </c>
      <c r="H859" s="51" t="e">
        <v>#N/A</v>
      </c>
    </row>
    <row r="860" spans="1:8">
      <c r="A860" s="57" t="s">
        <v>1980</v>
      </c>
      <c r="B860" s="121" t="s">
        <v>1973</v>
      </c>
      <c r="C860" s="57" t="s">
        <v>1981</v>
      </c>
      <c r="D860" s="59" t="s">
        <v>57</v>
      </c>
      <c r="E860" s="60" t="str">
        <f ca="1" t="shared" si="13"/>
        <v>Re</v>
      </c>
      <c r="F860" s="51">
        <v>50</v>
      </c>
      <c r="G860" s="51" t="s">
        <v>28</v>
      </c>
      <c r="H860" s="51">
        <v>0</v>
      </c>
    </row>
    <row r="861" spans="1:8">
      <c r="A861" s="57" t="s">
        <v>1982</v>
      </c>
      <c r="B861" s="121" t="s">
        <v>1983</v>
      </c>
      <c r="C861" s="57" t="s">
        <v>1984</v>
      </c>
      <c r="D861" s="59" t="s">
        <v>27</v>
      </c>
      <c r="E861" s="60" t="str">
        <f ca="1" t="shared" si="13"/>
        <v>LT</v>
      </c>
      <c r="F861" s="51">
        <v>8</v>
      </c>
      <c r="G861" s="51" t="s">
        <v>28</v>
      </c>
      <c r="H861" s="51">
        <v>0</v>
      </c>
    </row>
    <row r="862" spans="1:8">
      <c r="A862" s="57" t="s">
        <v>1985</v>
      </c>
      <c r="B862" s="121" t="s">
        <v>1983</v>
      </c>
      <c r="C862" s="57" t="s">
        <v>1986</v>
      </c>
      <c r="D862" s="59" t="s">
        <v>27</v>
      </c>
      <c r="E862" s="60" t="str">
        <f ca="1" t="shared" si="13"/>
        <v>LT</v>
      </c>
      <c r="F862" s="51">
        <v>8</v>
      </c>
      <c r="G862" s="51" t="s">
        <v>28</v>
      </c>
      <c r="H862" s="51">
        <v>3</v>
      </c>
    </row>
    <row r="863" spans="1:8">
      <c r="A863" s="57" t="s">
        <v>1987</v>
      </c>
      <c r="B863" s="121" t="s">
        <v>1988</v>
      </c>
      <c r="C863" s="57" t="s">
        <v>1989</v>
      </c>
      <c r="D863" s="59" t="s">
        <v>27</v>
      </c>
      <c r="E863" s="60" t="str">
        <f ca="1" t="shared" si="13"/>
        <v>LA</v>
      </c>
      <c r="F863" s="51">
        <v>4</v>
      </c>
      <c r="G863" s="51" t="s">
        <v>28</v>
      </c>
      <c r="H863" s="51">
        <v>0</v>
      </c>
    </row>
    <row r="864" spans="1:8">
      <c r="A864" s="57" t="s">
        <v>1990</v>
      </c>
      <c r="B864" s="121" t="s">
        <v>1988</v>
      </c>
      <c r="C864" s="57" t="s">
        <v>1991</v>
      </c>
      <c r="D864" s="59" t="s">
        <v>27</v>
      </c>
      <c r="E864" s="60" t="str">
        <f ca="1" t="shared" si="13"/>
        <v>LA</v>
      </c>
      <c r="F864" s="51">
        <v>4</v>
      </c>
      <c r="G864" s="51" t="s">
        <v>28</v>
      </c>
      <c r="H864" s="51">
        <v>0</v>
      </c>
    </row>
    <row r="865" spans="1:8">
      <c r="A865" s="57" t="s">
        <v>1992</v>
      </c>
      <c r="B865" s="115" t="s">
        <v>1385</v>
      </c>
      <c r="C865" s="57" t="s">
        <v>1993</v>
      </c>
      <c r="D865" s="59" t="s">
        <v>27</v>
      </c>
      <c r="E865" s="60" t="str">
        <f ca="1" t="shared" si="13"/>
        <v>TI</v>
      </c>
      <c r="F865" s="51">
        <v>2000</v>
      </c>
      <c r="G865" s="51" t="s">
        <v>28</v>
      </c>
      <c r="H865" s="51" t="e">
        <v>#N/A</v>
      </c>
    </row>
    <row r="866" spans="1:8">
      <c r="A866" s="57" t="s">
        <v>1994</v>
      </c>
      <c r="B866" s="115" t="s">
        <v>1385</v>
      </c>
      <c r="C866" s="57" t="s">
        <v>1995</v>
      </c>
      <c r="D866" s="59" t="s">
        <v>27</v>
      </c>
      <c r="E866" s="60" t="str">
        <f ca="1" t="shared" si="13"/>
        <v>TI</v>
      </c>
      <c r="F866" s="51">
        <v>2000</v>
      </c>
      <c r="G866" s="51" t="s">
        <v>28</v>
      </c>
      <c r="H866" s="51" t="s">
        <v>27</v>
      </c>
    </row>
    <row r="867" spans="1:8">
      <c r="A867" s="57" t="s">
        <v>1996</v>
      </c>
      <c r="B867" s="115" t="s">
        <v>1385</v>
      </c>
      <c r="C867" s="57" t="s">
        <v>1997</v>
      </c>
      <c r="D867" s="59" t="s">
        <v>27</v>
      </c>
      <c r="E867" s="60" t="str">
        <f ca="1" t="shared" si="13"/>
        <v>TI</v>
      </c>
      <c r="F867" s="51">
        <v>2000</v>
      </c>
      <c r="G867" s="51" t="s">
        <v>28</v>
      </c>
      <c r="H867" s="51">
        <v>0</v>
      </c>
    </row>
    <row r="868" spans="1:8">
      <c r="A868" s="57" t="s">
        <v>1998</v>
      </c>
      <c r="B868" s="115" t="s">
        <v>1385</v>
      </c>
      <c r="C868" s="57" t="s">
        <v>1999</v>
      </c>
      <c r="D868" s="59" t="s">
        <v>27</v>
      </c>
      <c r="E868" s="60" t="str">
        <f ca="1" t="shared" si="13"/>
        <v>TI</v>
      </c>
      <c r="F868" s="51">
        <v>2000</v>
      </c>
      <c r="G868" s="51" t="s">
        <v>28</v>
      </c>
      <c r="H868" s="51" t="s">
        <v>27</v>
      </c>
    </row>
    <row r="869" spans="1:8">
      <c r="A869" s="57" t="s">
        <v>2000</v>
      </c>
      <c r="B869" s="115" t="s">
        <v>1385</v>
      </c>
      <c r="C869" s="57" t="s">
        <v>2001</v>
      </c>
      <c r="D869" s="59" t="s">
        <v>27</v>
      </c>
      <c r="E869" s="60" t="str">
        <f ca="1" t="shared" si="13"/>
        <v>TI</v>
      </c>
      <c r="F869" s="51">
        <v>2000</v>
      </c>
      <c r="G869" s="51" t="s">
        <v>28</v>
      </c>
      <c r="H869" s="51" t="e">
        <v>#N/A</v>
      </c>
    </row>
    <row r="870" spans="1:8">
      <c r="A870" s="57" t="s">
        <v>2002</v>
      </c>
      <c r="B870" s="115" t="s">
        <v>1385</v>
      </c>
      <c r="C870" s="57" t="s">
        <v>2003</v>
      </c>
      <c r="D870" s="59" t="s">
        <v>27</v>
      </c>
      <c r="E870" s="60" t="str">
        <f ca="1" t="shared" si="13"/>
        <v>TI</v>
      </c>
      <c r="F870" s="51">
        <v>2000</v>
      </c>
      <c r="G870" s="51" t="s">
        <v>28</v>
      </c>
      <c r="H870" s="51" t="e">
        <v>#N/A</v>
      </c>
    </row>
    <row r="871" spans="1:8">
      <c r="A871" s="57" t="s">
        <v>2004</v>
      </c>
      <c r="B871" s="115" t="s">
        <v>1385</v>
      </c>
      <c r="C871" s="57" t="s">
        <v>2005</v>
      </c>
      <c r="D871" s="59" t="s">
        <v>27</v>
      </c>
      <c r="E871" s="60" t="str">
        <f ca="1" t="shared" si="13"/>
        <v>TI</v>
      </c>
      <c r="F871" s="51">
        <v>2000</v>
      </c>
      <c r="G871" s="51" t="s">
        <v>28</v>
      </c>
      <c r="H871" s="51" t="e">
        <v>#N/A</v>
      </c>
    </row>
    <row r="872" spans="1:8">
      <c r="A872" s="57" t="s">
        <v>2006</v>
      </c>
      <c r="B872" s="115" t="s">
        <v>1385</v>
      </c>
      <c r="C872" s="57" t="s">
        <v>2007</v>
      </c>
      <c r="D872" s="59" t="s">
        <v>27</v>
      </c>
      <c r="E872" s="60" t="str">
        <f ca="1" t="shared" si="13"/>
        <v>TI</v>
      </c>
      <c r="F872" s="51">
        <v>2000</v>
      </c>
      <c r="G872" s="51" t="s">
        <v>28</v>
      </c>
      <c r="H872" s="51" t="e">
        <v>#N/A</v>
      </c>
    </row>
    <row r="873" spans="1:8">
      <c r="A873" s="57" t="s">
        <v>2008</v>
      </c>
      <c r="B873" s="115" t="s">
        <v>1385</v>
      </c>
      <c r="C873" s="57" t="s">
        <v>2009</v>
      </c>
      <c r="D873" s="59" t="s">
        <v>27</v>
      </c>
      <c r="E873" s="60" t="str">
        <f ca="1" t="shared" si="13"/>
        <v>TI</v>
      </c>
      <c r="F873" s="51">
        <v>2000</v>
      </c>
      <c r="G873" s="51" t="s">
        <v>28</v>
      </c>
      <c r="H873" s="51" t="e">
        <v>#N/A</v>
      </c>
    </row>
    <row r="874" spans="1:8">
      <c r="A874" s="57" t="s">
        <v>2010</v>
      </c>
      <c r="B874" s="115" t="s">
        <v>1385</v>
      </c>
      <c r="C874" s="57" t="s">
        <v>2011</v>
      </c>
      <c r="D874" s="59" t="s">
        <v>27</v>
      </c>
      <c r="E874" s="60" t="str">
        <f ca="1" t="shared" si="13"/>
        <v>TI</v>
      </c>
      <c r="F874" s="51">
        <v>2000</v>
      </c>
      <c r="G874" s="51" t="s">
        <v>28</v>
      </c>
      <c r="H874" s="51" t="e">
        <v>#N/A</v>
      </c>
    </row>
    <row r="875" spans="1:8">
      <c r="A875" s="57" t="s">
        <v>2012</v>
      </c>
      <c r="B875" s="115" t="s">
        <v>1385</v>
      </c>
      <c r="C875" s="57" t="s">
        <v>2013</v>
      </c>
      <c r="D875" s="59" t="s">
        <v>27</v>
      </c>
      <c r="E875" s="60" t="str">
        <f ca="1" t="shared" si="13"/>
        <v>TI</v>
      </c>
      <c r="F875" s="51">
        <v>2000</v>
      </c>
      <c r="G875" s="51" t="s">
        <v>28</v>
      </c>
      <c r="H875" s="51" t="e">
        <v>#N/A</v>
      </c>
    </row>
    <row r="876" s="51" customFormat="1" spans="1:8">
      <c r="A876" s="57" t="s">
        <v>2014</v>
      </c>
      <c r="B876" s="58"/>
      <c r="C876" s="69" t="s">
        <v>2015</v>
      </c>
      <c r="D876" s="59" t="s">
        <v>27</v>
      </c>
      <c r="E876" s="60" t="str">
        <f ca="1" t="shared" si="13"/>
        <v>TI</v>
      </c>
      <c r="F876" s="51">
        <v>2000</v>
      </c>
      <c r="G876" s="51" t="s">
        <v>28</v>
      </c>
      <c r="H876" s="51" t="e">
        <v>#N/A</v>
      </c>
    </row>
    <row r="877" spans="1:8">
      <c r="A877" s="57" t="s">
        <v>2016</v>
      </c>
      <c r="B877" s="58"/>
      <c r="C877" s="69" t="s">
        <v>2017</v>
      </c>
      <c r="D877" s="59" t="s">
        <v>27</v>
      </c>
      <c r="E877" s="60" t="str">
        <f ca="1" t="shared" si="13"/>
        <v>TI</v>
      </c>
      <c r="F877" s="51">
        <v>2000</v>
      </c>
      <c r="G877" s="51" t="s">
        <v>28</v>
      </c>
      <c r="H877" s="51">
        <v>0</v>
      </c>
    </row>
    <row r="878" spans="1:8">
      <c r="A878" s="57" t="s">
        <v>2018</v>
      </c>
      <c r="B878" s="58"/>
      <c r="C878" s="69" t="s">
        <v>2019</v>
      </c>
      <c r="D878" s="59" t="s">
        <v>27</v>
      </c>
      <c r="E878" s="60" t="str">
        <f ca="1" t="shared" si="13"/>
        <v>TI</v>
      </c>
      <c r="F878" s="51">
        <v>2000</v>
      </c>
      <c r="G878" s="51" t="s">
        <v>28</v>
      </c>
      <c r="H878" s="51" t="e">
        <v>#N/A</v>
      </c>
    </row>
    <row r="879" spans="1:8">
      <c r="A879" s="57" t="s">
        <v>2020</v>
      </c>
      <c r="B879" s="58"/>
      <c r="C879" s="69" t="s">
        <v>2021</v>
      </c>
      <c r="D879" s="59" t="s">
        <v>27</v>
      </c>
      <c r="E879" s="60" t="str">
        <f ca="1" t="shared" si="13"/>
        <v>TI</v>
      </c>
      <c r="F879" s="51">
        <v>2000</v>
      </c>
      <c r="G879" s="51" t="s">
        <v>28</v>
      </c>
      <c r="H879" s="51" t="e">
        <v>#N/A</v>
      </c>
    </row>
    <row r="880" spans="1:8">
      <c r="A880" s="57" t="s">
        <v>2022</v>
      </c>
      <c r="B880" s="58"/>
      <c r="C880" s="69" t="s">
        <v>2023</v>
      </c>
      <c r="D880" s="59" t="s">
        <v>27</v>
      </c>
      <c r="E880" s="60" t="str">
        <f ca="1" t="shared" si="13"/>
        <v>TI</v>
      </c>
      <c r="F880" s="51">
        <v>2000</v>
      </c>
      <c r="G880" s="51" t="s">
        <v>28</v>
      </c>
      <c r="H880" s="51" t="s">
        <v>27</v>
      </c>
    </row>
    <row r="881" spans="1:8">
      <c r="A881" s="57" t="s">
        <v>2024</v>
      </c>
      <c r="B881" s="58"/>
      <c r="C881" s="69" t="s">
        <v>2025</v>
      </c>
      <c r="D881" s="59" t="s">
        <v>27</v>
      </c>
      <c r="E881" s="60" t="str">
        <f ca="1" t="shared" si="13"/>
        <v>TI</v>
      </c>
      <c r="F881" s="51">
        <v>2000</v>
      </c>
      <c r="G881" s="51" t="s">
        <v>28</v>
      </c>
      <c r="H881" s="51" t="s">
        <v>27</v>
      </c>
    </row>
    <row r="882" spans="1:8">
      <c r="A882" s="57" t="s">
        <v>2026</v>
      </c>
      <c r="B882" s="58"/>
      <c r="C882" s="69" t="s">
        <v>2027</v>
      </c>
      <c r="D882" s="59" t="s">
        <v>27</v>
      </c>
      <c r="E882" s="60" t="str">
        <f ca="1" t="shared" si="13"/>
        <v>TI</v>
      </c>
      <c r="F882" s="51">
        <v>2000</v>
      </c>
      <c r="G882" s="51" t="s">
        <v>28</v>
      </c>
      <c r="H882" s="51" t="s">
        <v>27</v>
      </c>
    </row>
    <row r="883" spans="1:8">
      <c r="A883" s="57" t="s">
        <v>2028</v>
      </c>
      <c r="B883" s="58"/>
      <c r="C883" s="69" t="s">
        <v>2029</v>
      </c>
      <c r="D883" s="59" t="s">
        <v>27</v>
      </c>
      <c r="E883" s="60" t="str">
        <f ca="1" t="shared" si="13"/>
        <v>TI</v>
      </c>
      <c r="F883" s="51">
        <v>2000</v>
      </c>
      <c r="G883" s="51" t="s">
        <v>28</v>
      </c>
      <c r="H883" s="51" t="s">
        <v>27</v>
      </c>
    </row>
    <row r="884" spans="1:8">
      <c r="A884" s="57" t="s">
        <v>2030</v>
      </c>
      <c r="B884" s="58"/>
      <c r="C884" s="69" t="s">
        <v>2031</v>
      </c>
      <c r="D884" s="59" t="s">
        <v>27</v>
      </c>
      <c r="E884" s="60" t="str">
        <f ca="1" t="shared" si="13"/>
        <v>TI</v>
      </c>
      <c r="F884" s="51">
        <v>2000</v>
      </c>
      <c r="G884" s="51" t="s">
        <v>28</v>
      </c>
      <c r="H884" s="51" t="s">
        <v>27</v>
      </c>
    </row>
    <row r="885" spans="1:8">
      <c r="A885" s="57" t="s">
        <v>2032</v>
      </c>
      <c r="B885" s="58"/>
      <c r="C885" s="57" t="s">
        <v>2033</v>
      </c>
      <c r="D885" s="59" t="s">
        <v>27</v>
      </c>
      <c r="E885" s="60" t="str">
        <f ca="1" t="shared" si="13"/>
        <v>TI</v>
      </c>
      <c r="F885" s="51">
        <v>2000</v>
      </c>
      <c r="G885" s="51" t="s">
        <v>28</v>
      </c>
      <c r="H885" s="51" t="s">
        <v>27</v>
      </c>
    </row>
    <row r="886" spans="1:8">
      <c r="A886" s="57" t="s">
        <v>2034</v>
      </c>
      <c r="B886" s="58"/>
      <c r="C886" s="69" t="s">
        <v>2035</v>
      </c>
      <c r="D886" s="59" t="s">
        <v>27</v>
      </c>
      <c r="E886" s="60" t="str">
        <f ca="1" t="shared" si="13"/>
        <v>TI</v>
      </c>
      <c r="F886" s="51">
        <v>2000</v>
      </c>
      <c r="G886" s="51" t="s">
        <v>28</v>
      </c>
      <c r="H886" s="51" t="s">
        <v>27</v>
      </c>
    </row>
    <row r="887" spans="1:8">
      <c r="A887" s="57" t="s">
        <v>2036</v>
      </c>
      <c r="B887" s="115" t="s">
        <v>1400</v>
      </c>
      <c r="C887" s="69" t="s">
        <v>2037</v>
      </c>
      <c r="D887" s="59" t="s">
        <v>27</v>
      </c>
      <c r="E887" s="60" t="str">
        <f ca="1" t="shared" si="13"/>
        <v>TU</v>
      </c>
      <c r="F887" s="51">
        <v>2000</v>
      </c>
      <c r="G887" s="51" t="s">
        <v>28</v>
      </c>
      <c r="H887" s="51" t="e">
        <v>#N/A</v>
      </c>
    </row>
    <row r="888" spans="1:8">
      <c r="A888" s="57" t="s">
        <v>2038</v>
      </c>
      <c r="B888" s="115" t="s">
        <v>1400</v>
      </c>
      <c r="C888" s="69" t="s">
        <v>2039</v>
      </c>
      <c r="D888" s="59" t="s">
        <v>27</v>
      </c>
      <c r="E888" s="60" t="str">
        <f ca="1" t="shared" si="13"/>
        <v>TU</v>
      </c>
      <c r="F888" s="51">
        <v>2000</v>
      </c>
      <c r="G888" s="51" t="s">
        <v>28</v>
      </c>
      <c r="H888" s="51">
        <v>0</v>
      </c>
    </row>
    <row r="889" s="51" customFormat="1" spans="1:8">
      <c r="A889" s="57" t="s">
        <v>2040</v>
      </c>
      <c r="B889" s="58"/>
      <c r="C889" s="69" t="s">
        <v>2041</v>
      </c>
      <c r="D889" s="59" t="s">
        <v>57</v>
      </c>
      <c r="E889" s="60" t="str">
        <f ca="1" t="shared" si="13"/>
        <v>TI</v>
      </c>
      <c r="F889" s="51">
        <v>50</v>
      </c>
      <c r="G889" s="51" t="s">
        <v>28</v>
      </c>
      <c r="H889" s="51" t="e">
        <v>#N/A</v>
      </c>
    </row>
    <row r="890" s="51" customFormat="1" spans="1:8">
      <c r="A890" s="57" t="s">
        <v>2042</v>
      </c>
      <c r="B890" s="58"/>
      <c r="C890" s="69" t="s">
        <v>2043</v>
      </c>
      <c r="D890" s="59" t="s">
        <v>27</v>
      </c>
      <c r="E890" s="60" t="str">
        <f ca="1" t="shared" si="13"/>
        <v>CO</v>
      </c>
      <c r="F890" s="51">
        <v>50</v>
      </c>
      <c r="G890" s="51" t="s">
        <v>28</v>
      </c>
      <c r="H890" s="51">
        <v>0</v>
      </c>
    </row>
    <row r="891" s="51" customFormat="1" spans="1:8">
      <c r="A891" s="57" t="s">
        <v>2044</v>
      </c>
      <c r="B891" s="58"/>
      <c r="C891" s="69" t="s">
        <v>2045</v>
      </c>
      <c r="D891" s="59" t="s">
        <v>27</v>
      </c>
      <c r="E891" s="60" t="str">
        <f ca="1" t="shared" si="13"/>
        <v>CO</v>
      </c>
      <c r="F891" s="51">
        <v>50</v>
      </c>
      <c r="G891" s="51" t="s">
        <v>28</v>
      </c>
      <c r="H891" s="51" t="e">
        <v>#N/A</v>
      </c>
    </row>
    <row r="892" s="51" customFormat="1" spans="1:8">
      <c r="A892" s="57" t="s">
        <v>2046</v>
      </c>
      <c r="B892" s="58"/>
      <c r="C892" s="69" t="s">
        <v>2047</v>
      </c>
      <c r="D892" s="59" t="s">
        <v>27</v>
      </c>
      <c r="E892" s="60" t="str">
        <f ca="1" t="shared" si="13"/>
        <v>CO</v>
      </c>
      <c r="F892" s="51">
        <v>50</v>
      </c>
      <c r="G892" s="51" t="s">
        <v>28</v>
      </c>
      <c r="H892" s="51" t="e">
        <v>#N/A</v>
      </c>
    </row>
    <row r="893" s="51" customFormat="1" spans="1:8">
      <c r="A893" s="57" t="s">
        <v>2048</v>
      </c>
      <c r="B893" s="58" t="s">
        <v>2049</v>
      </c>
      <c r="C893" s="69" t="s">
        <v>2050</v>
      </c>
      <c r="D893" s="59" t="s">
        <v>2051</v>
      </c>
      <c r="E893" s="60" t="str">
        <f ca="1" t="shared" si="13"/>
        <v>TU</v>
      </c>
      <c r="F893" s="51">
        <v>2000</v>
      </c>
      <c r="G893" s="51" t="s">
        <v>28</v>
      </c>
      <c r="H893" s="51" t="e">
        <v>#N/A</v>
      </c>
    </row>
    <row r="894" s="51" customFormat="1" spans="1:8">
      <c r="A894" s="57" t="s">
        <v>2052</v>
      </c>
      <c r="B894" s="58" t="s">
        <v>2049</v>
      </c>
      <c r="C894" s="69" t="s">
        <v>2053</v>
      </c>
      <c r="D894" s="59" t="s">
        <v>2051</v>
      </c>
      <c r="E894" s="60" t="str">
        <f ca="1" t="shared" si="13"/>
        <v>TU</v>
      </c>
      <c r="F894" s="51">
        <v>2000</v>
      </c>
      <c r="G894" s="51" t="s">
        <v>28</v>
      </c>
      <c r="H894" s="51" t="e">
        <v>#N/A</v>
      </c>
    </row>
    <row r="895" s="51" customFormat="1" spans="1:8">
      <c r="A895" s="57" t="s">
        <v>2054</v>
      </c>
      <c r="B895" s="58" t="s">
        <v>2049</v>
      </c>
      <c r="C895" s="69" t="s">
        <v>2055</v>
      </c>
      <c r="D895" s="59" t="s">
        <v>2051</v>
      </c>
      <c r="E895" s="60" t="str">
        <f ca="1" t="shared" si="13"/>
        <v>TU</v>
      </c>
      <c r="F895" s="51">
        <v>2000</v>
      </c>
      <c r="G895" s="51" t="s">
        <v>28</v>
      </c>
      <c r="H895" s="51" t="e">
        <v>#N/A</v>
      </c>
    </row>
    <row r="896" s="51" customFormat="1" spans="1:8">
      <c r="A896" s="57" t="s">
        <v>2056</v>
      </c>
      <c r="B896" s="58" t="s">
        <v>2049</v>
      </c>
      <c r="C896" s="69" t="s">
        <v>2057</v>
      </c>
      <c r="D896" s="59" t="s">
        <v>2051</v>
      </c>
      <c r="E896" s="60" t="str">
        <f ca="1" t="shared" si="13"/>
        <v>TU</v>
      </c>
      <c r="F896" s="51">
        <v>2000</v>
      </c>
      <c r="G896" s="51" t="s">
        <v>28</v>
      </c>
      <c r="H896" s="51" t="s">
        <v>2051</v>
      </c>
    </row>
    <row r="897" s="51" customFormat="1" spans="1:8">
      <c r="A897" s="57" t="s">
        <v>2058</v>
      </c>
      <c r="B897" s="58" t="s">
        <v>2049</v>
      </c>
      <c r="C897" s="69" t="s">
        <v>2059</v>
      </c>
      <c r="D897" s="59" t="s">
        <v>2051</v>
      </c>
      <c r="E897" s="60" t="str">
        <f ca="1" t="shared" si="13"/>
        <v>TU</v>
      </c>
      <c r="F897" s="51">
        <v>2000</v>
      </c>
      <c r="G897" s="51" t="s">
        <v>28</v>
      </c>
      <c r="H897" s="51" t="e">
        <v>#N/A</v>
      </c>
    </row>
    <row r="898" s="51" customFormat="1" spans="1:8">
      <c r="A898" s="57" t="s">
        <v>2060</v>
      </c>
      <c r="B898" s="58" t="s">
        <v>2049</v>
      </c>
      <c r="C898" s="69" t="s">
        <v>2061</v>
      </c>
      <c r="D898" s="59" t="s">
        <v>2051</v>
      </c>
      <c r="E898" s="60" t="str">
        <f ca="1" t="shared" si="13"/>
        <v>TU</v>
      </c>
      <c r="F898" s="51">
        <v>2000</v>
      </c>
      <c r="G898" s="51" t="s">
        <v>28</v>
      </c>
      <c r="H898" s="51" t="e">
        <v>#N/A</v>
      </c>
    </row>
    <row r="899" s="51" customFormat="1" spans="1:8">
      <c r="A899" s="57" t="s">
        <v>2062</v>
      </c>
      <c r="B899" s="58" t="s">
        <v>2049</v>
      </c>
      <c r="C899" s="69" t="s">
        <v>2063</v>
      </c>
      <c r="D899" s="59" t="s">
        <v>2051</v>
      </c>
      <c r="E899" s="60" t="str">
        <f ca="1" t="shared" ref="E899:E962" si="14">LEFT(A899,2)</f>
        <v>TU</v>
      </c>
      <c r="F899" s="51">
        <v>2000</v>
      </c>
      <c r="G899" s="51" t="s">
        <v>28</v>
      </c>
      <c r="H899" s="51" t="s">
        <v>2051</v>
      </c>
    </row>
    <row r="900" s="51" customFormat="1" spans="1:8">
      <c r="A900" s="57" t="s">
        <v>2064</v>
      </c>
      <c r="B900" s="58" t="s">
        <v>2049</v>
      </c>
      <c r="C900" s="69" t="s">
        <v>2065</v>
      </c>
      <c r="D900" s="59" t="s">
        <v>2051</v>
      </c>
      <c r="E900" s="60" t="str">
        <f ca="1" t="shared" si="14"/>
        <v>TU</v>
      </c>
      <c r="F900" s="51">
        <v>2000</v>
      </c>
      <c r="G900" s="51" t="s">
        <v>28</v>
      </c>
      <c r="H900" s="51" t="s">
        <v>2051</v>
      </c>
    </row>
    <row r="901" s="51" customFormat="1" spans="1:8">
      <c r="A901" s="57" t="s">
        <v>2066</v>
      </c>
      <c r="B901" s="58" t="s">
        <v>2049</v>
      </c>
      <c r="C901" s="69" t="s">
        <v>2067</v>
      </c>
      <c r="D901" s="59" t="s">
        <v>2051</v>
      </c>
      <c r="E901" s="60" t="str">
        <f ca="1" t="shared" si="14"/>
        <v>TU</v>
      </c>
      <c r="F901" s="51">
        <v>2000</v>
      </c>
      <c r="G901" s="51" t="s">
        <v>28</v>
      </c>
      <c r="H901" s="51" t="s">
        <v>2051</v>
      </c>
    </row>
    <row r="902" s="51" customFormat="1" spans="1:8">
      <c r="A902" s="57" t="s">
        <v>2068</v>
      </c>
      <c r="B902" s="58" t="s">
        <v>2049</v>
      </c>
      <c r="C902" s="69" t="s">
        <v>2069</v>
      </c>
      <c r="D902" s="59" t="s">
        <v>2051</v>
      </c>
      <c r="E902" s="60" t="str">
        <f ca="1" t="shared" si="14"/>
        <v>TU</v>
      </c>
      <c r="F902" s="51">
        <v>2000</v>
      </c>
      <c r="G902" s="51" t="s">
        <v>28</v>
      </c>
      <c r="H902" s="51" t="s">
        <v>2051</v>
      </c>
    </row>
    <row r="903" s="51" customFormat="1" spans="1:8">
      <c r="A903" s="57" t="s">
        <v>2070</v>
      </c>
      <c r="B903" s="58" t="s">
        <v>2049</v>
      </c>
      <c r="C903" s="69" t="s">
        <v>2071</v>
      </c>
      <c r="D903" s="59" t="s">
        <v>2051</v>
      </c>
      <c r="E903" s="60" t="str">
        <f ca="1" t="shared" si="14"/>
        <v>TU</v>
      </c>
      <c r="F903" s="51">
        <v>2000</v>
      </c>
      <c r="G903" s="51" t="s">
        <v>28</v>
      </c>
      <c r="H903" s="51" t="e">
        <v>#N/A</v>
      </c>
    </row>
    <row r="904" s="51" customFormat="1" spans="1:8">
      <c r="A904" s="57" t="s">
        <v>2072</v>
      </c>
      <c r="B904" s="58" t="s">
        <v>2073</v>
      </c>
      <c r="C904" s="69" t="s">
        <v>2074</v>
      </c>
      <c r="D904" s="59" t="s">
        <v>2051</v>
      </c>
      <c r="E904" s="60" t="str">
        <f ca="1" t="shared" si="14"/>
        <v>TU</v>
      </c>
      <c r="F904" s="51">
        <v>2000</v>
      </c>
      <c r="G904" s="51" t="s">
        <v>28</v>
      </c>
      <c r="H904" s="51" t="s">
        <v>2051</v>
      </c>
    </row>
    <row r="905" s="51" customFormat="1" spans="1:8">
      <c r="A905" s="57" t="s">
        <v>2075</v>
      </c>
      <c r="B905" s="58" t="s">
        <v>2049</v>
      </c>
      <c r="C905" s="69" t="s">
        <v>2076</v>
      </c>
      <c r="D905" s="59" t="s">
        <v>2051</v>
      </c>
      <c r="E905" s="60" t="str">
        <f ca="1" t="shared" si="14"/>
        <v>TU</v>
      </c>
      <c r="F905" s="51">
        <v>2000</v>
      </c>
      <c r="G905" s="51" t="s">
        <v>28</v>
      </c>
      <c r="H905" s="51" t="s">
        <v>2051</v>
      </c>
    </row>
    <row r="906" s="51" customFormat="1" spans="1:8">
      <c r="A906" s="57" t="s">
        <v>2077</v>
      </c>
      <c r="B906" s="58" t="s">
        <v>2049</v>
      </c>
      <c r="C906" s="69" t="s">
        <v>2078</v>
      </c>
      <c r="D906" s="59" t="s">
        <v>2051</v>
      </c>
      <c r="E906" s="60" t="str">
        <f ca="1" t="shared" si="14"/>
        <v>TU</v>
      </c>
      <c r="F906" s="51">
        <v>2000</v>
      </c>
      <c r="G906" s="51" t="s">
        <v>28</v>
      </c>
      <c r="H906" s="51" t="s">
        <v>2051</v>
      </c>
    </row>
    <row r="907" s="51" customFormat="1" spans="1:8">
      <c r="A907" s="57" t="s">
        <v>2079</v>
      </c>
      <c r="B907" s="58" t="s">
        <v>2049</v>
      </c>
      <c r="C907" s="69" t="s">
        <v>2080</v>
      </c>
      <c r="D907" s="59" t="s">
        <v>2051</v>
      </c>
      <c r="E907" s="60" t="str">
        <f ca="1" t="shared" si="14"/>
        <v>TU</v>
      </c>
      <c r="F907" s="51">
        <v>2000</v>
      </c>
      <c r="G907" s="51" t="s">
        <v>28</v>
      </c>
      <c r="H907" s="51" t="s">
        <v>2051</v>
      </c>
    </row>
    <row r="908" spans="1:8">
      <c r="A908" s="57" t="s">
        <v>2081</v>
      </c>
      <c r="B908" s="58" t="s">
        <v>2082</v>
      </c>
      <c r="C908" s="57" t="s">
        <v>2083</v>
      </c>
      <c r="D908" s="59" t="s">
        <v>2051</v>
      </c>
      <c r="E908" s="60" t="str">
        <f ca="1" t="shared" si="14"/>
        <v>TU</v>
      </c>
      <c r="F908" s="51">
        <v>50</v>
      </c>
      <c r="G908" s="51" t="s">
        <v>28</v>
      </c>
      <c r="H908" s="51" t="s">
        <v>2051</v>
      </c>
    </row>
    <row r="909" spans="1:8">
      <c r="A909" s="57" t="s">
        <v>2084</v>
      </c>
      <c r="B909" s="58" t="s">
        <v>2082</v>
      </c>
      <c r="C909" s="57" t="s">
        <v>2085</v>
      </c>
      <c r="D909" s="59" t="s">
        <v>2051</v>
      </c>
      <c r="E909" s="60" t="str">
        <f ca="1" t="shared" si="14"/>
        <v>TU</v>
      </c>
      <c r="F909" s="51">
        <v>50</v>
      </c>
      <c r="G909" s="51" t="s">
        <v>28</v>
      </c>
      <c r="H909" s="51" t="e">
        <v>#N/A</v>
      </c>
    </row>
    <row r="910" spans="1:8">
      <c r="A910" s="57" t="s">
        <v>2086</v>
      </c>
      <c r="B910" s="58" t="s">
        <v>2082</v>
      </c>
      <c r="C910" s="57" t="s">
        <v>2087</v>
      </c>
      <c r="D910" s="59" t="s">
        <v>2051</v>
      </c>
      <c r="E910" s="60" t="str">
        <f ca="1" t="shared" si="14"/>
        <v>TU</v>
      </c>
      <c r="F910" s="51">
        <v>50</v>
      </c>
      <c r="G910" s="51" t="s">
        <v>28</v>
      </c>
      <c r="H910" s="51" t="e">
        <v>#N/A</v>
      </c>
    </row>
    <row r="911" spans="1:8">
      <c r="A911" s="57" t="s">
        <v>2088</v>
      </c>
      <c r="B911" s="58" t="s">
        <v>2082</v>
      </c>
      <c r="C911" s="57" t="s">
        <v>2089</v>
      </c>
      <c r="D911" s="59" t="s">
        <v>2051</v>
      </c>
      <c r="E911" s="60" t="str">
        <f ca="1" t="shared" si="14"/>
        <v>TU</v>
      </c>
      <c r="F911" s="51">
        <v>50</v>
      </c>
      <c r="G911" s="51" t="s">
        <v>28</v>
      </c>
      <c r="H911" s="51" t="e">
        <v>#N/A</v>
      </c>
    </row>
    <row r="912" spans="1:8">
      <c r="A912" s="57" t="s">
        <v>2090</v>
      </c>
      <c r="B912" s="58" t="s">
        <v>2091</v>
      </c>
      <c r="C912" s="57" t="s">
        <v>2092</v>
      </c>
      <c r="D912" s="59" t="s">
        <v>27</v>
      </c>
      <c r="E912" s="60" t="str">
        <f ca="1" t="shared" si="14"/>
        <v>TU</v>
      </c>
      <c r="F912" s="51">
        <v>50</v>
      </c>
      <c r="G912" s="51" t="s">
        <v>28</v>
      </c>
      <c r="H912" s="51" t="e">
        <v>#N/A</v>
      </c>
    </row>
    <row r="913" spans="1:8">
      <c r="A913" s="57" t="s">
        <v>2093</v>
      </c>
      <c r="B913" s="58" t="s">
        <v>2091</v>
      </c>
      <c r="C913" s="57" t="s">
        <v>2094</v>
      </c>
      <c r="D913" s="59" t="s">
        <v>27</v>
      </c>
      <c r="E913" s="60" t="str">
        <f ca="1" t="shared" si="14"/>
        <v>TU</v>
      </c>
      <c r="F913" s="51">
        <v>50</v>
      </c>
      <c r="G913" s="51" t="s">
        <v>28</v>
      </c>
      <c r="H913" s="51" t="e">
        <v>#N/A</v>
      </c>
    </row>
    <row r="914" spans="1:8">
      <c r="A914" s="57" t="s">
        <v>2095</v>
      </c>
      <c r="B914" s="58" t="s">
        <v>2091</v>
      </c>
      <c r="C914" s="57" t="s">
        <v>2096</v>
      </c>
      <c r="D914" s="59" t="s">
        <v>27</v>
      </c>
      <c r="E914" s="60" t="str">
        <f ca="1" t="shared" si="14"/>
        <v>TU</v>
      </c>
      <c r="F914" s="51">
        <v>50</v>
      </c>
      <c r="G914" s="51" t="s">
        <v>28</v>
      </c>
      <c r="H914" s="51" t="e">
        <v>#N/A</v>
      </c>
    </row>
    <row r="915" spans="1:8">
      <c r="A915" s="57" t="s">
        <v>2097</v>
      </c>
      <c r="B915" s="58" t="s">
        <v>2098</v>
      </c>
      <c r="C915" s="57" t="s">
        <v>2099</v>
      </c>
      <c r="D915" s="59" t="s">
        <v>27</v>
      </c>
      <c r="E915" s="60" t="str">
        <f ca="1" t="shared" si="14"/>
        <v>TU</v>
      </c>
      <c r="F915" s="51">
        <v>50</v>
      </c>
      <c r="G915" s="51" t="s">
        <v>28</v>
      </c>
      <c r="H915" s="51" t="s">
        <v>27</v>
      </c>
    </row>
    <row r="916" spans="1:8">
      <c r="A916" s="57" t="s">
        <v>2100</v>
      </c>
      <c r="B916" s="58" t="s">
        <v>2101</v>
      </c>
      <c r="C916" s="57" t="s">
        <v>2102</v>
      </c>
      <c r="D916" s="59" t="s">
        <v>27</v>
      </c>
      <c r="E916" s="60" t="str">
        <f ca="1" t="shared" si="14"/>
        <v>TU</v>
      </c>
      <c r="F916" s="51">
        <v>50</v>
      </c>
      <c r="G916" s="51" t="s">
        <v>28</v>
      </c>
      <c r="H916" s="51" t="s">
        <v>27</v>
      </c>
    </row>
    <row r="917" spans="1:8">
      <c r="A917" s="57" t="s">
        <v>2103</v>
      </c>
      <c r="B917" s="115" t="s">
        <v>2104</v>
      </c>
      <c r="C917" s="57" t="s">
        <v>2105</v>
      </c>
      <c r="D917" s="59" t="s">
        <v>27</v>
      </c>
      <c r="E917" s="60" t="str">
        <f ca="1" t="shared" si="14"/>
        <v>TU</v>
      </c>
      <c r="F917" s="51">
        <v>50</v>
      </c>
      <c r="G917" s="51" t="s">
        <v>28</v>
      </c>
      <c r="H917" s="51">
        <v>0</v>
      </c>
    </row>
    <row r="918" s="51" customFormat="1" spans="1:8">
      <c r="A918" s="57" t="s">
        <v>2106</v>
      </c>
      <c r="B918" s="115" t="s">
        <v>2104</v>
      </c>
      <c r="C918" s="57" t="s">
        <v>2107</v>
      </c>
      <c r="D918" s="59" t="s">
        <v>27</v>
      </c>
      <c r="E918" s="60" t="str">
        <f ca="1" t="shared" si="14"/>
        <v>TU</v>
      </c>
      <c r="F918" s="51">
        <v>50</v>
      </c>
      <c r="G918" s="51" t="s">
        <v>28</v>
      </c>
      <c r="H918" s="51">
        <v>0</v>
      </c>
    </row>
    <row r="919" spans="1:8">
      <c r="A919" s="57" t="s">
        <v>2108</v>
      </c>
      <c r="B919" s="115" t="s">
        <v>2091</v>
      </c>
      <c r="C919" s="57" t="s">
        <v>2109</v>
      </c>
      <c r="D919" s="59" t="s">
        <v>27</v>
      </c>
      <c r="E919" s="60" t="str">
        <f ca="1" t="shared" si="14"/>
        <v>TU</v>
      </c>
      <c r="F919" s="51">
        <v>50</v>
      </c>
      <c r="G919" s="51" t="s">
        <v>28</v>
      </c>
      <c r="H919" s="51" t="s">
        <v>27</v>
      </c>
    </row>
    <row r="920" spans="1:8">
      <c r="A920" s="57" t="s">
        <v>2110</v>
      </c>
      <c r="B920" s="115" t="s">
        <v>2098</v>
      </c>
      <c r="C920" s="57" t="s">
        <v>2111</v>
      </c>
      <c r="D920" s="59" t="s">
        <v>27</v>
      </c>
      <c r="E920" s="60" t="str">
        <f ca="1" t="shared" si="14"/>
        <v>TU</v>
      </c>
      <c r="F920" s="51">
        <v>50</v>
      </c>
      <c r="G920" s="51" t="s">
        <v>28</v>
      </c>
      <c r="H920" s="51" t="s">
        <v>27</v>
      </c>
    </row>
    <row r="921" spans="1:8">
      <c r="A921" s="57" t="s">
        <v>2112</v>
      </c>
      <c r="B921" s="115" t="s">
        <v>2091</v>
      </c>
      <c r="C921" s="57" t="s">
        <v>2113</v>
      </c>
      <c r="D921" s="59" t="s">
        <v>236</v>
      </c>
      <c r="E921" s="60" t="str">
        <f ca="1" t="shared" si="14"/>
        <v>KH</v>
      </c>
      <c r="F921" s="51">
        <v>50</v>
      </c>
      <c r="G921" s="51" t="s">
        <v>28</v>
      </c>
      <c r="H921" s="51" t="s">
        <v>236</v>
      </c>
    </row>
    <row r="922" spans="1:8">
      <c r="A922" s="57" t="s">
        <v>2114</v>
      </c>
      <c r="B922" s="115" t="s">
        <v>2104</v>
      </c>
      <c r="C922" s="57" t="s">
        <v>2115</v>
      </c>
      <c r="D922" s="59" t="s">
        <v>27</v>
      </c>
      <c r="E922" s="60" t="str">
        <f ca="1" t="shared" si="14"/>
        <v>TU</v>
      </c>
      <c r="F922" s="51">
        <v>50</v>
      </c>
      <c r="G922" s="51" t="s">
        <v>28</v>
      </c>
      <c r="H922" s="51">
        <v>0</v>
      </c>
    </row>
    <row r="923" spans="1:8">
      <c r="A923" s="57" t="s">
        <v>2116</v>
      </c>
      <c r="B923" s="59"/>
      <c r="C923" s="57" t="s">
        <v>2117</v>
      </c>
      <c r="D923" s="59" t="s">
        <v>27</v>
      </c>
      <c r="E923" s="60" t="str">
        <f ca="1" t="shared" si="14"/>
        <v>AT</v>
      </c>
      <c r="F923" s="51">
        <v>50</v>
      </c>
      <c r="G923" s="51" t="s">
        <v>28</v>
      </c>
      <c r="H923" s="51" t="e">
        <v>#N/A</v>
      </c>
    </row>
    <row r="924" spans="1:8">
      <c r="A924" s="57" t="s">
        <v>2118</v>
      </c>
      <c r="B924" s="59"/>
      <c r="C924" s="57" t="s">
        <v>2119</v>
      </c>
      <c r="D924" s="59" t="s">
        <v>27</v>
      </c>
      <c r="E924" s="60" t="str">
        <f ca="1" t="shared" si="14"/>
        <v>AT</v>
      </c>
      <c r="F924" s="51">
        <v>50</v>
      </c>
      <c r="G924" s="51" t="s">
        <v>28</v>
      </c>
      <c r="H924" s="51" t="e">
        <v>#N/A</v>
      </c>
    </row>
    <row r="925" spans="1:8">
      <c r="A925" s="57" t="s">
        <v>2120</v>
      </c>
      <c r="B925" s="59"/>
      <c r="C925" s="57" t="s">
        <v>2121</v>
      </c>
      <c r="D925" s="59" t="s">
        <v>27</v>
      </c>
      <c r="E925" s="60" t="str">
        <f ca="1" t="shared" si="14"/>
        <v>AT</v>
      </c>
      <c r="F925" s="51">
        <v>50</v>
      </c>
      <c r="G925" s="51" t="s">
        <v>28</v>
      </c>
      <c r="H925" s="51" t="e">
        <v>#N/A</v>
      </c>
    </row>
    <row r="926" spans="1:8">
      <c r="A926" s="57" t="s">
        <v>2122</v>
      </c>
      <c r="B926" s="121" t="s">
        <v>2123</v>
      </c>
      <c r="C926" s="57" t="s">
        <v>2124</v>
      </c>
      <c r="D926" s="59" t="s">
        <v>27</v>
      </c>
      <c r="E926" s="60" t="str">
        <f ca="1" t="shared" si="14"/>
        <v>AT</v>
      </c>
      <c r="F926" s="51">
        <v>5</v>
      </c>
      <c r="G926" s="51" t="s">
        <v>28</v>
      </c>
      <c r="H926" s="51" t="s">
        <v>27</v>
      </c>
    </row>
    <row r="927" spans="1:8">
      <c r="A927" s="57" t="s">
        <v>2125</v>
      </c>
      <c r="B927" s="121" t="s">
        <v>2123</v>
      </c>
      <c r="C927" s="57" t="s">
        <v>2126</v>
      </c>
      <c r="D927" s="59" t="s">
        <v>27</v>
      </c>
      <c r="E927" s="60" t="str">
        <f ca="1" t="shared" si="14"/>
        <v>AT</v>
      </c>
      <c r="F927" s="51">
        <v>5</v>
      </c>
      <c r="G927" s="51" t="s">
        <v>28</v>
      </c>
      <c r="H927" s="51" t="e">
        <v>#N/A</v>
      </c>
    </row>
    <row r="928" spans="1:8">
      <c r="A928" s="57" t="s">
        <v>2127</v>
      </c>
      <c r="B928" s="121" t="s">
        <v>2123</v>
      </c>
      <c r="C928" s="57" t="s">
        <v>2128</v>
      </c>
      <c r="D928" s="59" t="s">
        <v>27</v>
      </c>
      <c r="E928" s="60" t="str">
        <f ca="1" t="shared" si="14"/>
        <v>AT</v>
      </c>
      <c r="F928" s="51">
        <v>5</v>
      </c>
      <c r="G928" s="51" t="s">
        <v>28</v>
      </c>
      <c r="H928" s="51" t="s">
        <v>27</v>
      </c>
    </row>
    <row r="929" spans="1:8">
      <c r="A929" s="57" t="s">
        <v>2129</v>
      </c>
      <c r="B929" s="121" t="s">
        <v>2123</v>
      </c>
      <c r="C929" s="57" t="s">
        <v>2130</v>
      </c>
      <c r="D929" s="59" t="s">
        <v>27</v>
      </c>
      <c r="E929" s="60" t="str">
        <f ca="1" t="shared" si="14"/>
        <v>AT</v>
      </c>
      <c r="F929" s="51">
        <v>5</v>
      </c>
      <c r="G929" s="51" t="s">
        <v>28</v>
      </c>
      <c r="H929" s="51">
        <v>0</v>
      </c>
    </row>
    <row r="930" spans="1:8">
      <c r="A930" s="57" t="s">
        <v>2131</v>
      </c>
      <c r="B930" s="121" t="s">
        <v>2123</v>
      </c>
      <c r="C930" s="57" t="s">
        <v>2132</v>
      </c>
      <c r="D930" s="59" t="s">
        <v>27</v>
      </c>
      <c r="E930" s="60" t="str">
        <f ca="1" t="shared" si="14"/>
        <v>AT</v>
      </c>
      <c r="F930" s="51">
        <v>5</v>
      </c>
      <c r="G930" s="51" t="s">
        <v>28</v>
      </c>
      <c r="H930" s="51">
        <v>0</v>
      </c>
    </row>
    <row r="931" spans="1:8">
      <c r="A931" s="57" t="s">
        <v>2133</v>
      </c>
      <c r="B931" s="121" t="s">
        <v>2123</v>
      </c>
      <c r="C931" s="57" t="s">
        <v>2134</v>
      </c>
      <c r="D931" s="59" t="s">
        <v>27</v>
      </c>
      <c r="E931" s="60" t="str">
        <f ca="1" t="shared" si="14"/>
        <v>AT</v>
      </c>
      <c r="F931" s="51">
        <v>5</v>
      </c>
      <c r="G931" s="51" t="s">
        <v>28</v>
      </c>
      <c r="H931" s="51" t="s">
        <v>27</v>
      </c>
    </row>
    <row r="932" spans="1:8">
      <c r="A932" s="57" t="s">
        <v>2135</v>
      </c>
      <c r="B932" s="121" t="s">
        <v>2123</v>
      </c>
      <c r="C932" s="57" t="s">
        <v>2136</v>
      </c>
      <c r="D932" s="59" t="s">
        <v>27</v>
      </c>
      <c r="E932" s="60" t="str">
        <f ca="1" t="shared" si="14"/>
        <v>AT</v>
      </c>
      <c r="F932" s="51">
        <v>5</v>
      </c>
      <c r="G932" s="51" t="s">
        <v>28</v>
      </c>
      <c r="H932" s="51" t="e">
        <v>#N/A</v>
      </c>
    </row>
    <row r="933" spans="1:8">
      <c r="A933" s="57" t="s">
        <v>2137</v>
      </c>
      <c r="B933" s="121" t="s">
        <v>2123</v>
      </c>
      <c r="C933" s="57" t="s">
        <v>2138</v>
      </c>
      <c r="D933" s="59" t="s">
        <v>27</v>
      </c>
      <c r="E933" s="60" t="str">
        <f ca="1" t="shared" si="14"/>
        <v>AT</v>
      </c>
      <c r="F933" s="51">
        <v>5</v>
      </c>
      <c r="G933" s="51" t="s">
        <v>28</v>
      </c>
      <c r="H933" s="51" t="s">
        <v>27</v>
      </c>
    </row>
    <row r="934" spans="1:8">
      <c r="A934" s="57" t="s">
        <v>2139</v>
      </c>
      <c r="B934" s="121" t="s">
        <v>2123</v>
      </c>
      <c r="C934" s="57" t="s">
        <v>2140</v>
      </c>
      <c r="D934" s="59" t="s">
        <v>27</v>
      </c>
      <c r="E934" s="60" t="str">
        <f ca="1" t="shared" si="14"/>
        <v>AT</v>
      </c>
      <c r="F934" s="51">
        <v>5</v>
      </c>
      <c r="G934" s="51" t="s">
        <v>28</v>
      </c>
      <c r="H934" s="51" t="s">
        <v>27</v>
      </c>
    </row>
    <row r="935" spans="1:8">
      <c r="A935" s="57" t="s">
        <v>2141</v>
      </c>
      <c r="B935" s="121" t="s">
        <v>2142</v>
      </c>
      <c r="C935" s="57" t="s">
        <v>2143</v>
      </c>
      <c r="D935" s="59" t="s">
        <v>27</v>
      </c>
      <c r="E935" s="60" t="str">
        <f ca="1" t="shared" si="14"/>
        <v>AT</v>
      </c>
      <c r="F935" s="51">
        <v>5</v>
      </c>
      <c r="G935" s="51" t="s">
        <v>28</v>
      </c>
      <c r="H935" s="51" t="s">
        <v>27</v>
      </c>
    </row>
    <row r="936" spans="1:8">
      <c r="A936" s="57" t="s">
        <v>2144</v>
      </c>
      <c r="B936" s="121" t="s">
        <v>2145</v>
      </c>
      <c r="C936" s="57" t="s">
        <v>2146</v>
      </c>
      <c r="D936" s="59" t="s">
        <v>27</v>
      </c>
      <c r="E936" s="60" t="str">
        <f ca="1" t="shared" si="14"/>
        <v>AT</v>
      </c>
      <c r="F936" s="51">
        <v>5</v>
      </c>
      <c r="G936" s="51" t="s">
        <v>28</v>
      </c>
      <c r="H936" s="51" t="s">
        <v>27</v>
      </c>
    </row>
    <row r="937" spans="1:8">
      <c r="A937" s="57" t="s">
        <v>2147</v>
      </c>
      <c r="B937" s="121" t="s">
        <v>2145</v>
      </c>
      <c r="C937" s="57" t="s">
        <v>2148</v>
      </c>
      <c r="D937" s="59" t="s">
        <v>27</v>
      </c>
      <c r="E937" s="60" t="str">
        <f ca="1" t="shared" si="14"/>
        <v>AT</v>
      </c>
      <c r="F937" s="51">
        <v>5</v>
      </c>
      <c r="G937" s="51" t="s">
        <v>28</v>
      </c>
      <c r="H937" s="51" t="e">
        <v>#N/A</v>
      </c>
    </row>
    <row r="938" spans="1:8">
      <c r="A938" s="57" t="s">
        <v>2149</v>
      </c>
      <c r="B938" s="121" t="s">
        <v>2145</v>
      </c>
      <c r="C938" s="57" t="s">
        <v>2150</v>
      </c>
      <c r="D938" s="59" t="s">
        <v>27</v>
      </c>
      <c r="E938" s="60" t="str">
        <f ca="1" t="shared" si="14"/>
        <v>AT</v>
      </c>
      <c r="F938" s="51">
        <v>5</v>
      </c>
      <c r="G938" s="51" t="s">
        <v>28</v>
      </c>
      <c r="H938" s="51" t="s">
        <v>27</v>
      </c>
    </row>
    <row r="939" spans="1:8">
      <c r="A939" s="57" t="s">
        <v>2151</v>
      </c>
      <c r="B939" s="121" t="s">
        <v>2145</v>
      </c>
      <c r="C939" s="57" t="s">
        <v>2152</v>
      </c>
      <c r="D939" s="59" t="s">
        <v>27</v>
      </c>
      <c r="E939" s="60" t="str">
        <f ca="1" t="shared" si="14"/>
        <v>AT</v>
      </c>
      <c r="F939" s="51">
        <v>5</v>
      </c>
      <c r="G939" s="51" t="s">
        <v>28</v>
      </c>
      <c r="H939" s="51" t="s">
        <v>27</v>
      </c>
    </row>
    <row r="940" spans="1:8">
      <c r="A940" s="57" t="s">
        <v>2153</v>
      </c>
      <c r="B940" s="121" t="s">
        <v>2154</v>
      </c>
      <c r="C940" s="57" t="s">
        <v>2155</v>
      </c>
      <c r="D940" s="59" t="s">
        <v>27</v>
      </c>
      <c r="E940" s="60" t="str">
        <f ca="1" t="shared" si="14"/>
        <v>AT</v>
      </c>
      <c r="F940" s="51">
        <v>5</v>
      </c>
      <c r="G940" s="51" t="s">
        <v>28</v>
      </c>
      <c r="H940" s="51" t="s">
        <v>27</v>
      </c>
    </row>
    <row r="941" s="51" customFormat="1" spans="1:8">
      <c r="A941" s="57" t="s">
        <v>2156</v>
      </c>
      <c r="B941" s="121" t="s">
        <v>2154</v>
      </c>
      <c r="C941" s="57" t="s">
        <v>2157</v>
      </c>
      <c r="D941" s="59" t="s">
        <v>27</v>
      </c>
      <c r="E941" s="60" t="str">
        <f ca="1" t="shared" si="14"/>
        <v>AT</v>
      </c>
      <c r="F941" s="51">
        <v>5</v>
      </c>
      <c r="G941" s="51" t="s">
        <v>28</v>
      </c>
      <c r="H941" s="51" t="e">
        <v>#N/A</v>
      </c>
    </row>
    <row r="942" s="51" customFormat="1" spans="1:8">
      <c r="A942" s="57" t="s">
        <v>2158</v>
      </c>
      <c r="B942" s="121" t="s">
        <v>2154</v>
      </c>
      <c r="C942" s="57" t="s">
        <v>2159</v>
      </c>
      <c r="D942" s="59" t="s">
        <v>27</v>
      </c>
      <c r="E942" s="60" t="str">
        <f ca="1" t="shared" si="14"/>
        <v>AT</v>
      </c>
      <c r="F942" s="51">
        <v>5</v>
      </c>
      <c r="G942" s="51" t="s">
        <v>28</v>
      </c>
      <c r="H942" s="51" t="e">
        <v>#N/A</v>
      </c>
    </row>
    <row r="943" s="51" customFormat="1" spans="1:8">
      <c r="A943" s="57" t="s">
        <v>2160</v>
      </c>
      <c r="B943" s="121" t="s">
        <v>2154</v>
      </c>
      <c r="C943" s="57" t="s">
        <v>2161</v>
      </c>
      <c r="D943" s="59" t="s">
        <v>27</v>
      </c>
      <c r="E943" s="60" t="str">
        <f ca="1" t="shared" si="14"/>
        <v>AC</v>
      </c>
      <c r="F943" s="51">
        <v>50</v>
      </c>
      <c r="G943" s="51" t="s">
        <v>28</v>
      </c>
      <c r="H943" s="51" t="e">
        <v>#N/A</v>
      </c>
    </row>
    <row r="944" s="51" customFormat="1" spans="1:8">
      <c r="A944" s="57" t="s">
        <v>2162</v>
      </c>
      <c r="B944" s="121" t="s">
        <v>2154</v>
      </c>
      <c r="C944" s="57" t="s">
        <v>2163</v>
      </c>
      <c r="D944" s="59" t="s">
        <v>27</v>
      </c>
      <c r="E944" s="60" t="str">
        <f ca="1" t="shared" si="14"/>
        <v>AC</v>
      </c>
      <c r="F944" s="51">
        <v>50</v>
      </c>
      <c r="G944" s="51" t="s">
        <v>28</v>
      </c>
      <c r="H944" s="51" t="e">
        <v>#N/A</v>
      </c>
    </row>
    <row r="945" s="51" customFormat="1" spans="1:8">
      <c r="A945" s="57" t="s">
        <v>2164</v>
      </c>
      <c r="B945" s="121" t="s">
        <v>2154</v>
      </c>
      <c r="C945" s="57" t="s">
        <v>2165</v>
      </c>
      <c r="D945" s="59" t="s">
        <v>27</v>
      </c>
      <c r="E945" s="60" t="str">
        <f ca="1" t="shared" si="14"/>
        <v>AC</v>
      </c>
      <c r="F945" s="51">
        <v>50</v>
      </c>
      <c r="G945" s="51" t="s">
        <v>28</v>
      </c>
      <c r="H945" s="51" t="e">
        <v>#N/A</v>
      </c>
    </row>
    <row r="946" s="51" customFormat="1" spans="1:8">
      <c r="A946" s="57" t="s">
        <v>2166</v>
      </c>
      <c r="B946" s="121" t="s">
        <v>2154</v>
      </c>
      <c r="C946" s="57" t="s">
        <v>2167</v>
      </c>
      <c r="D946" s="59" t="s">
        <v>27</v>
      </c>
      <c r="E946" s="60" t="str">
        <f ca="1" t="shared" si="14"/>
        <v>AC</v>
      </c>
      <c r="F946" s="51">
        <v>50</v>
      </c>
      <c r="G946" s="51" t="s">
        <v>28</v>
      </c>
      <c r="H946" s="51" t="e">
        <v>#N/A</v>
      </c>
    </row>
    <row r="947" s="51" customFormat="1" spans="1:8">
      <c r="A947" s="57" t="s">
        <v>2168</v>
      </c>
      <c r="B947" s="121" t="s">
        <v>2154</v>
      </c>
      <c r="C947" s="57" t="s">
        <v>2169</v>
      </c>
      <c r="D947" s="59" t="s">
        <v>27</v>
      </c>
      <c r="E947" s="60" t="str">
        <f ca="1" t="shared" si="14"/>
        <v>AC</v>
      </c>
      <c r="F947" s="51">
        <v>50</v>
      </c>
      <c r="G947" s="51" t="s">
        <v>28</v>
      </c>
      <c r="H947" s="51" t="e">
        <v>#N/A</v>
      </c>
    </row>
    <row r="948" s="51" customFormat="1" spans="1:8">
      <c r="A948" s="57" t="s">
        <v>2170</v>
      </c>
      <c r="B948" s="121" t="s">
        <v>2154</v>
      </c>
      <c r="C948" s="57" t="s">
        <v>2171</v>
      </c>
      <c r="D948" s="59" t="s">
        <v>27</v>
      </c>
      <c r="E948" s="60" t="str">
        <f ca="1" t="shared" si="14"/>
        <v>AC</v>
      </c>
      <c r="F948" s="51">
        <v>50</v>
      </c>
      <c r="G948" s="51" t="s">
        <v>28</v>
      </c>
      <c r="H948" s="51" t="e">
        <v>#N/A</v>
      </c>
    </row>
    <row r="949" s="51" customFormat="1" spans="1:8">
      <c r="A949" s="57" t="s">
        <v>2172</v>
      </c>
      <c r="B949" s="121" t="s">
        <v>2154</v>
      </c>
      <c r="C949" s="57" t="s">
        <v>2173</v>
      </c>
      <c r="D949" s="59" t="s">
        <v>27</v>
      </c>
      <c r="E949" s="60" t="str">
        <f ca="1" t="shared" si="14"/>
        <v>AC</v>
      </c>
      <c r="F949" s="51">
        <v>50</v>
      </c>
      <c r="G949" s="51" t="s">
        <v>28</v>
      </c>
      <c r="H949" s="51" t="e">
        <v>#N/A</v>
      </c>
    </row>
    <row r="950" spans="1:8">
      <c r="A950" s="57" t="s">
        <v>2174</v>
      </c>
      <c r="B950" s="59"/>
      <c r="C950" s="57" t="s">
        <v>2175</v>
      </c>
      <c r="D950" s="59" t="s">
        <v>27</v>
      </c>
      <c r="E950" s="60" t="str">
        <f ca="1" t="shared" si="14"/>
        <v>AP</v>
      </c>
      <c r="F950" s="51">
        <v>50</v>
      </c>
      <c r="G950" s="51" t="s">
        <v>28</v>
      </c>
      <c r="H950" s="51" t="e">
        <v>#N/A</v>
      </c>
    </row>
    <row r="951" spans="1:8">
      <c r="A951" s="57" t="s">
        <v>2176</v>
      </c>
      <c r="B951" s="59"/>
      <c r="C951" s="57" t="s">
        <v>2177</v>
      </c>
      <c r="D951" s="59" t="s">
        <v>27</v>
      </c>
      <c r="E951" s="60" t="str">
        <f ca="1" t="shared" si="14"/>
        <v>AP</v>
      </c>
      <c r="F951" s="51">
        <v>50</v>
      </c>
      <c r="G951" s="51" t="s">
        <v>28</v>
      </c>
      <c r="H951" s="51" t="e">
        <v>#N/A</v>
      </c>
    </row>
    <row r="952" spans="1:8">
      <c r="A952" s="57" t="s">
        <v>2178</v>
      </c>
      <c r="B952" s="58"/>
      <c r="C952" s="57" t="s">
        <v>2179</v>
      </c>
      <c r="D952" s="59" t="s">
        <v>2180</v>
      </c>
      <c r="E952" s="60" t="str">
        <f ca="1" t="shared" si="14"/>
        <v>CH</v>
      </c>
      <c r="F952" s="51">
        <v>50</v>
      </c>
      <c r="G952" s="51" t="s">
        <v>28</v>
      </c>
      <c r="H952" s="51" t="s">
        <v>2180</v>
      </c>
    </row>
    <row r="953" spans="1:8">
      <c r="A953" s="57" t="s">
        <v>2181</v>
      </c>
      <c r="B953" s="58"/>
      <c r="C953" s="57" t="s">
        <v>2182</v>
      </c>
      <c r="D953" s="59" t="s">
        <v>2180</v>
      </c>
      <c r="E953" s="60" t="str">
        <f ca="1" t="shared" si="14"/>
        <v>CH</v>
      </c>
      <c r="F953" s="51">
        <v>50</v>
      </c>
      <c r="G953" s="51" t="s">
        <v>28</v>
      </c>
      <c r="H953" s="51" t="s">
        <v>2180</v>
      </c>
    </row>
    <row r="954" spans="1:8">
      <c r="A954" s="57" t="s">
        <v>2183</v>
      </c>
      <c r="B954" s="58"/>
      <c r="C954" s="57" t="s">
        <v>2184</v>
      </c>
      <c r="D954" s="59" t="s">
        <v>2180</v>
      </c>
      <c r="E954" s="60" t="str">
        <f ca="1" t="shared" si="14"/>
        <v>CH</v>
      </c>
      <c r="F954" s="51">
        <v>50</v>
      </c>
      <c r="G954" s="51" t="s">
        <v>28</v>
      </c>
      <c r="H954" s="51">
        <v>0</v>
      </c>
    </row>
    <row r="955" spans="1:8">
      <c r="A955" s="57" t="s">
        <v>2185</v>
      </c>
      <c r="B955" s="58"/>
      <c r="C955" s="57" t="s">
        <v>2186</v>
      </c>
      <c r="D955" s="59" t="s">
        <v>2180</v>
      </c>
      <c r="E955" s="60" t="str">
        <f ca="1" t="shared" si="14"/>
        <v>CH</v>
      </c>
      <c r="F955" s="51">
        <v>50</v>
      </c>
      <c r="G955" s="51" t="s">
        <v>28</v>
      </c>
      <c r="H955" s="51">
        <v>0</v>
      </c>
    </row>
    <row r="956" spans="1:8">
      <c r="A956" s="57" t="s">
        <v>2187</v>
      </c>
      <c r="B956" s="58"/>
      <c r="C956" s="57" t="s">
        <v>2188</v>
      </c>
      <c r="D956" s="59" t="s">
        <v>2180</v>
      </c>
      <c r="E956" s="60" t="str">
        <f ca="1" t="shared" si="14"/>
        <v>CH</v>
      </c>
      <c r="F956" s="51">
        <v>50</v>
      </c>
      <c r="G956" s="51" t="s">
        <v>28</v>
      </c>
      <c r="H956" s="51">
        <v>0</v>
      </c>
    </row>
    <row r="957" spans="1:8">
      <c r="A957" s="57" t="s">
        <v>2189</v>
      </c>
      <c r="B957" s="58"/>
      <c r="C957" s="57" t="s">
        <v>2190</v>
      </c>
      <c r="D957" s="59" t="s">
        <v>2180</v>
      </c>
      <c r="E957" s="60" t="str">
        <f ca="1" t="shared" si="14"/>
        <v>CH</v>
      </c>
      <c r="F957" s="51">
        <v>50</v>
      </c>
      <c r="G957" s="51" t="s">
        <v>28</v>
      </c>
      <c r="H957" s="51" t="s">
        <v>2180</v>
      </c>
    </row>
    <row r="958" spans="1:8">
      <c r="A958" s="57" t="s">
        <v>2191</v>
      </c>
      <c r="B958" s="58"/>
      <c r="C958" s="57" t="s">
        <v>2192</v>
      </c>
      <c r="D958" s="59" t="s">
        <v>2180</v>
      </c>
      <c r="E958" s="60" t="str">
        <f ca="1" t="shared" si="14"/>
        <v>CH</v>
      </c>
      <c r="F958" s="51">
        <v>50</v>
      </c>
      <c r="G958" s="51" t="s">
        <v>28</v>
      </c>
      <c r="H958" s="51" t="e">
        <v>#N/A</v>
      </c>
    </row>
    <row r="959" spans="1:8">
      <c r="A959" s="57" t="s">
        <v>2193</v>
      </c>
      <c r="B959" s="58"/>
      <c r="C959" s="57" t="s">
        <v>2194</v>
      </c>
      <c r="D959" s="59" t="s">
        <v>2180</v>
      </c>
      <c r="E959" s="60" t="str">
        <f ca="1" t="shared" si="14"/>
        <v>CH</v>
      </c>
      <c r="F959" s="51">
        <v>50</v>
      </c>
      <c r="G959" s="51" t="s">
        <v>28</v>
      </c>
      <c r="H959" s="51" t="s">
        <v>2180</v>
      </c>
    </row>
    <row r="960" spans="1:8">
      <c r="A960" s="57" t="s">
        <v>2195</v>
      </c>
      <c r="B960" s="58"/>
      <c r="C960" s="57" t="s">
        <v>2196</v>
      </c>
      <c r="D960" s="59" t="s">
        <v>2180</v>
      </c>
      <c r="E960" s="60" t="str">
        <f ca="1" t="shared" si="14"/>
        <v>CH</v>
      </c>
      <c r="F960" s="51">
        <v>50</v>
      </c>
      <c r="G960" s="51" t="s">
        <v>28</v>
      </c>
      <c r="H960" s="51" t="s">
        <v>2180</v>
      </c>
    </row>
    <row r="961" spans="1:8">
      <c r="A961" s="57" t="s">
        <v>2197</v>
      </c>
      <c r="B961" s="58"/>
      <c r="C961" s="57" t="s">
        <v>2198</v>
      </c>
      <c r="D961" s="59" t="s">
        <v>2180</v>
      </c>
      <c r="E961" s="60" t="str">
        <f ca="1" t="shared" si="14"/>
        <v>CH</v>
      </c>
      <c r="F961" s="51">
        <v>50</v>
      </c>
      <c r="G961" s="51" t="s">
        <v>28</v>
      </c>
      <c r="H961" s="51" t="s">
        <v>2180</v>
      </c>
    </row>
    <row r="962" spans="1:8">
      <c r="A962" s="57" t="s">
        <v>2199</v>
      </c>
      <c r="B962" s="58"/>
      <c r="C962" s="57" t="s">
        <v>2200</v>
      </c>
      <c r="D962" s="59" t="s">
        <v>2180</v>
      </c>
      <c r="E962" s="60" t="str">
        <f ca="1" t="shared" si="14"/>
        <v>CH</v>
      </c>
      <c r="F962" s="51">
        <v>50</v>
      </c>
      <c r="G962" s="51" t="s">
        <v>28</v>
      </c>
      <c r="H962" s="51" t="e">
        <v>#N/A</v>
      </c>
    </row>
    <row r="963" spans="1:8">
      <c r="A963" s="57" t="s">
        <v>2201</v>
      </c>
      <c r="B963" s="58"/>
      <c r="C963" s="57" t="s">
        <v>2202</v>
      </c>
      <c r="D963" s="59" t="s">
        <v>2180</v>
      </c>
      <c r="E963" s="60" t="str">
        <f ca="1" t="shared" ref="E963:E1026" si="15">LEFT(A963,2)</f>
        <v>CH</v>
      </c>
      <c r="F963" s="51">
        <v>50</v>
      </c>
      <c r="G963" s="51" t="s">
        <v>28</v>
      </c>
      <c r="H963" s="51" t="e">
        <v>#N/A</v>
      </c>
    </row>
    <row r="964" spans="1:8">
      <c r="A964" s="57" t="s">
        <v>2203</v>
      </c>
      <c r="B964" s="58"/>
      <c r="C964" s="57" t="s">
        <v>2204</v>
      </c>
      <c r="D964" s="59" t="s">
        <v>2180</v>
      </c>
      <c r="E964" s="60" t="str">
        <f ca="1" t="shared" si="15"/>
        <v>CH</v>
      </c>
      <c r="F964" s="51">
        <v>50</v>
      </c>
      <c r="G964" s="51" t="s">
        <v>28</v>
      </c>
      <c r="H964" s="51">
        <v>0</v>
      </c>
    </row>
    <row r="965" spans="1:8">
      <c r="A965" s="57" t="s">
        <v>2205</v>
      </c>
      <c r="B965" s="58"/>
      <c r="C965" s="57" t="s">
        <v>2206</v>
      </c>
      <c r="D965" s="59" t="s">
        <v>2180</v>
      </c>
      <c r="E965" s="60" t="str">
        <f ca="1" t="shared" si="15"/>
        <v>CH</v>
      </c>
      <c r="F965" s="51">
        <v>50</v>
      </c>
      <c r="G965" s="51" t="s">
        <v>28</v>
      </c>
      <c r="H965" s="51">
        <v>0</v>
      </c>
    </row>
    <row r="966" spans="1:8">
      <c r="A966" s="57" t="s">
        <v>2207</v>
      </c>
      <c r="B966" s="58"/>
      <c r="C966" s="57" t="s">
        <v>2208</v>
      </c>
      <c r="D966" s="59" t="s">
        <v>2180</v>
      </c>
      <c r="E966" s="60" t="str">
        <f ca="1" t="shared" si="15"/>
        <v>CH</v>
      </c>
      <c r="F966" s="51">
        <v>50</v>
      </c>
      <c r="G966" s="51" t="s">
        <v>28</v>
      </c>
      <c r="H966" s="51" t="e">
        <v>#N/A</v>
      </c>
    </row>
    <row r="967" spans="1:8">
      <c r="A967" s="57" t="s">
        <v>2209</v>
      </c>
      <c r="B967" s="59"/>
      <c r="C967" s="57" t="s">
        <v>2210</v>
      </c>
      <c r="D967" s="59" t="s">
        <v>27</v>
      </c>
      <c r="E967" s="60" t="str">
        <f ca="1" t="shared" si="15"/>
        <v>DK</v>
      </c>
      <c r="F967" s="51">
        <v>2000</v>
      </c>
      <c r="G967" s="51" t="s">
        <v>28</v>
      </c>
      <c r="H967" s="51" t="e">
        <v>#N/A</v>
      </c>
    </row>
    <row r="968" spans="1:8">
      <c r="A968" s="57" t="s">
        <v>2211</v>
      </c>
      <c r="B968" s="59"/>
      <c r="C968" s="57" t="s">
        <v>2212</v>
      </c>
      <c r="D968" s="59" t="s">
        <v>27</v>
      </c>
      <c r="E968" s="60" t="str">
        <f ca="1" t="shared" si="15"/>
        <v>DK</v>
      </c>
      <c r="F968" s="51">
        <v>2000</v>
      </c>
      <c r="G968" s="51" t="s">
        <v>28</v>
      </c>
      <c r="H968" s="51" t="s">
        <v>27</v>
      </c>
    </row>
    <row r="969" spans="1:8">
      <c r="A969" s="57" t="s">
        <v>2213</v>
      </c>
      <c r="B969" s="59"/>
      <c r="C969" s="57" t="s">
        <v>2214</v>
      </c>
      <c r="D969" s="59" t="s">
        <v>27</v>
      </c>
      <c r="E969" s="60" t="str">
        <f ca="1" t="shared" si="15"/>
        <v>DK</v>
      </c>
      <c r="F969" s="51">
        <v>2000</v>
      </c>
      <c r="G969" s="51" t="s">
        <v>28</v>
      </c>
      <c r="H969" s="51" t="s">
        <v>27</v>
      </c>
    </row>
    <row r="970" spans="1:8">
      <c r="A970" s="57" t="s">
        <v>2215</v>
      </c>
      <c r="B970" s="59"/>
      <c r="C970" s="57" t="s">
        <v>2216</v>
      </c>
      <c r="D970" s="59" t="s">
        <v>27</v>
      </c>
      <c r="E970" s="60" t="str">
        <f ca="1" t="shared" si="15"/>
        <v>DK</v>
      </c>
      <c r="F970" s="51">
        <v>2000</v>
      </c>
      <c r="G970" s="51" t="s">
        <v>28</v>
      </c>
      <c r="H970" s="51" t="s">
        <v>27</v>
      </c>
    </row>
    <row r="971" s="51" customFormat="1" spans="1:8">
      <c r="A971" s="57" t="s">
        <v>2217</v>
      </c>
      <c r="B971" s="121" t="s">
        <v>2218</v>
      </c>
      <c r="C971" s="57" t="s">
        <v>2219</v>
      </c>
      <c r="D971" s="59" t="s">
        <v>27</v>
      </c>
      <c r="E971" s="60" t="str">
        <f ca="1" t="shared" si="15"/>
        <v>DK</v>
      </c>
      <c r="F971" s="51">
        <v>2000</v>
      </c>
      <c r="G971" s="51" t="s">
        <v>28</v>
      </c>
      <c r="H971" s="51" t="s">
        <v>27</v>
      </c>
    </row>
    <row r="972" s="51" customFormat="1" spans="1:8">
      <c r="A972" s="57" t="s">
        <v>2220</v>
      </c>
      <c r="B972" s="121" t="s">
        <v>2218</v>
      </c>
      <c r="C972" s="57" t="s">
        <v>2221</v>
      </c>
      <c r="D972" s="59" t="s">
        <v>27</v>
      </c>
      <c r="E972" s="60" t="str">
        <f ca="1" t="shared" si="15"/>
        <v>DK</v>
      </c>
      <c r="F972" s="51">
        <v>2000</v>
      </c>
      <c r="G972" s="51" t="s">
        <v>28</v>
      </c>
      <c r="H972" s="51" t="s">
        <v>27</v>
      </c>
    </row>
    <row r="973" s="51" customFormat="1" spans="1:8">
      <c r="A973" s="57" t="s">
        <v>2222</v>
      </c>
      <c r="B973" s="59"/>
      <c r="C973" s="57" t="s">
        <v>2223</v>
      </c>
      <c r="D973" s="59" t="s">
        <v>27</v>
      </c>
      <c r="E973" s="60" t="str">
        <f ca="1" t="shared" si="15"/>
        <v>DK</v>
      </c>
      <c r="F973" s="51">
        <v>2000</v>
      </c>
      <c r="G973" s="51" t="s">
        <v>28</v>
      </c>
      <c r="H973" s="51">
        <v>0</v>
      </c>
    </row>
    <row r="974" spans="1:8">
      <c r="A974" s="57" t="s">
        <v>2224</v>
      </c>
      <c r="B974" s="121" t="s">
        <v>2218</v>
      </c>
      <c r="C974" s="57" t="s">
        <v>2225</v>
      </c>
      <c r="D974" s="59" t="s">
        <v>27</v>
      </c>
      <c r="E974" s="60" t="str">
        <f ca="1" t="shared" si="15"/>
        <v>DK</v>
      </c>
      <c r="F974" s="51">
        <v>2000</v>
      </c>
      <c r="G974" s="51" t="s">
        <v>28</v>
      </c>
      <c r="H974" s="51">
        <v>0</v>
      </c>
    </row>
    <row r="975" spans="1:8">
      <c r="A975" s="57" t="s">
        <v>2226</v>
      </c>
      <c r="B975" s="121" t="s">
        <v>2227</v>
      </c>
      <c r="C975" s="57" t="s">
        <v>2228</v>
      </c>
      <c r="D975" s="59" t="s">
        <v>57</v>
      </c>
      <c r="E975" s="60" t="str">
        <f ca="1" t="shared" si="15"/>
        <v>BA</v>
      </c>
      <c r="F975" s="51">
        <v>50</v>
      </c>
      <c r="G975" s="51" t="s">
        <v>28</v>
      </c>
      <c r="H975" s="51" t="s">
        <v>57</v>
      </c>
    </row>
    <row r="976" spans="1:8">
      <c r="A976" s="57" t="s">
        <v>2229</v>
      </c>
      <c r="B976" s="58"/>
      <c r="C976" s="70" t="s">
        <v>2230</v>
      </c>
      <c r="D976" s="59" t="s">
        <v>2231</v>
      </c>
      <c r="E976" s="60" t="str">
        <f ca="1" t="shared" si="15"/>
        <v>GT</v>
      </c>
      <c r="F976" s="51">
        <v>50</v>
      </c>
      <c r="G976" s="51" t="s">
        <v>28</v>
      </c>
      <c r="H976" s="51" t="s">
        <v>2231</v>
      </c>
    </row>
    <row r="977" spans="1:8">
      <c r="A977" s="57" t="s">
        <v>2232</v>
      </c>
      <c r="B977" s="58"/>
      <c r="C977" s="70" t="s">
        <v>2233</v>
      </c>
      <c r="D977" s="59" t="s">
        <v>2231</v>
      </c>
      <c r="E977" s="60" t="str">
        <f ca="1" t="shared" si="15"/>
        <v>GT</v>
      </c>
      <c r="F977" s="51">
        <v>50</v>
      </c>
      <c r="G977" s="51" t="s">
        <v>28</v>
      </c>
      <c r="H977" s="51" t="s">
        <v>2231</v>
      </c>
    </row>
    <row r="978" spans="1:8">
      <c r="A978" s="57" t="s">
        <v>2234</v>
      </c>
      <c r="B978" s="120" t="s">
        <v>2235</v>
      </c>
      <c r="C978" s="70" t="s">
        <v>2236</v>
      </c>
      <c r="D978" s="59" t="s">
        <v>27</v>
      </c>
      <c r="E978" s="60" t="str">
        <f ca="1" t="shared" si="15"/>
        <v>SX</v>
      </c>
      <c r="F978" s="51">
        <v>50</v>
      </c>
      <c r="G978" s="51" t="s">
        <v>28</v>
      </c>
      <c r="H978" s="51" t="e">
        <v>#N/A</v>
      </c>
    </row>
    <row r="979" spans="1:8">
      <c r="A979" s="57" t="s">
        <v>2237</v>
      </c>
      <c r="B979" s="58"/>
      <c r="C979" s="70" t="s">
        <v>2238</v>
      </c>
      <c r="D979" s="59" t="s">
        <v>57</v>
      </c>
      <c r="E979" s="60" t="str">
        <f ca="1" t="shared" si="15"/>
        <v>GS</v>
      </c>
      <c r="F979" s="51">
        <v>50</v>
      </c>
      <c r="G979" s="51" t="s">
        <v>28</v>
      </c>
      <c r="H979" s="51" t="e">
        <v>#N/A</v>
      </c>
    </row>
    <row r="980" spans="1:8">
      <c r="A980" s="57" t="s">
        <v>2239</v>
      </c>
      <c r="B980" s="58"/>
      <c r="C980" s="70" t="s">
        <v>2240</v>
      </c>
      <c r="D980" s="59" t="s">
        <v>57</v>
      </c>
      <c r="E980" s="60" t="str">
        <f ca="1" t="shared" si="15"/>
        <v>GC</v>
      </c>
      <c r="F980" s="51">
        <v>50</v>
      </c>
      <c r="G980" s="51" t="s">
        <v>28</v>
      </c>
      <c r="H980" s="51" t="s">
        <v>57</v>
      </c>
    </row>
    <row r="981" spans="1:8">
      <c r="A981" s="57" t="s">
        <v>2241</v>
      </c>
      <c r="B981" s="121" t="s">
        <v>2242</v>
      </c>
      <c r="C981" s="70" t="s">
        <v>2243</v>
      </c>
      <c r="D981" s="59" t="s">
        <v>57</v>
      </c>
      <c r="E981" s="60" t="str">
        <f ca="1" t="shared" si="15"/>
        <v>SD</v>
      </c>
      <c r="F981" s="51">
        <v>50</v>
      </c>
      <c r="G981" s="51" t="s">
        <v>28</v>
      </c>
      <c r="H981" s="51" t="e">
        <v>#N/A</v>
      </c>
    </row>
    <row r="982" spans="1:8">
      <c r="A982" s="57" t="s">
        <v>2244</v>
      </c>
      <c r="B982" s="115" t="s">
        <v>2245</v>
      </c>
      <c r="C982" s="70" t="s">
        <v>2246</v>
      </c>
      <c r="D982" s="59" t="s">
        <v>942</v>
      </c>
      <c r="E982" s="60" t="str">
        <f ca="1" t="shared" si="15"/>
        <v>TC</v>
      </c>
      <c r="F982" s="51">
        <v>50</v>
      </c>
      <c r="G982" s="51" t="s">
        <v>28</v>
      </c>
      <c r="H982" s="51" t="e">
        <v>#N/A</v>
      </c>
    </row>
    <row r="983" spans="1:8">
      <c r="A983" s="57" t="s">
        <v>2247</v>
      </c>
      <c r="B983" s="115" t="s">
        <v>2245</v>
      </c>
      <c r="C983" s="70" t="s">
        <v>2248</v>
      </c>
      <c r="D983" s="59" t="s">
        <v>942</v>
      </c>
      <c r="E983" s="60" t="str">
        <f ca="1" t="shared" si="15"/>
        <v>TC</v>
      </c>
      <c r="F983" s="51">
        <v>50</v>
      </c>
      <c r="G983" s="51" t="s">
        <v>28</v>
      </c>
      <c r="H983" s="51" t="e">
        <v>#N/A</v>
      </c>
    </row>
    <row r="984" spans="1:8">
      <c r="A984" s="57" t="s">
        <v>2249</v>
      </c>
      <c r="B984" s="115" t="s">
        <v>1556</v>
      </c>
      <c r="C984" s="70" t="s">
        <v>2250</v>
      </c>
      <c r="D984" s="59" t="s">
        <v>942</v>
      </c>
      <c r="E984" s="60" t="str">
        <f ca="1" t="shared" si="15"/>
        <v>TC</v>
      </c>
      <c r="F984" s="51">
        <v>50</v>
      </c>
      <c r="G984" s="51" t="s">
        <v>28</v>
      </c>
      <c r="H984" s="51" t="e">
        <v>#N/A</v>
      </c>
    </row>
    <row r="985" s="51" customFormat="1" spans="1:8">
      <c r="A985" s="57" t="s">
        <v>2251</v>
      </c>
      <c r="B985" s="58"/>
      <c r="C985" s="70" t="s">
        <v>2252</v>
      </c>
      <c r="D985" s="59" t="s">
        <v>57</v>
      </c>
      <c r="E985" s="60" t="str">
        <f ca="1" t="shared" si="15"/>
        <v>Gi</v>
      </c>
      <c r="F985" s="51">
        <v>50</v>
      </c>
      <c r="G985" s="51" t="s">
        <v>28</v>
      </c>
      <c r="H985" s="51" t="s">
        <v>57</v>
      </c>
    </row>
    <row r="986" s="51" customFormat="1" spans="1:8">
      <c r="A986" s="57" t="s">
        <v>2253</v>
      </c>
      <c r="B986" s="58"/>
      <c r="C986" s="70" t="s">
        <v>2252</v>
      </c>
      <c r="D986" s="59" t="s">
        <v>57</v>
      </c>
      <c r="E986" s="60" t="str">
        <f ca="1" t="shared" si="15"/>
        <v>Gi</v>
      </c>
      <c r="F986" s="51">
        <v>50</v>
      </c>
      <c r="G986" s="51" t="s">
        <v>28</v>
      </c>
      <c r="H986" s="51" t="e">
        <v>#N/A</v>
      </c>
    </row>
    <row r="987" s="51" customFormat="1" spans="1:8">
      <c r="A987" s="57" t="s">
        <v>2254</v>
      </c>
      <c r="B987" s="58"/>
      <c r="C987" s="70" t="s">
        <v>2252</v>
      </c>
      <c r="D987" s="59" t="s">
        <v>57</v>
      </c>
      <c r="E987" s="60" t="str">
        <f ca="1" t="shared" si="15"/>
        <v>Gi</v>
      </c>
      <c r="F987" s="51">
        <v>50</v>
      </c>
      <c r="G987" s="51" t="s">
        <v>28</v>
      </c>
      <c r="H987" s="51" t="e">
        <v>#N/A</v>
      </c>
    </row>
    <row r="988" s="51" customFormat="1" spans="1:8">
      <c r="A988" s="57" t="s">
        <v>2255</v>
      </c>
      <c r="B988" s="58"/>
      <c r="C988" s="70" t="s">
        <v>2252</v>
      </c>
      <c r="D988" s="59" t="s">
        <v>57</v>
      </c>
      <c r="E988" s="60" t="str">
        <f ca="1" t="shared" si="15"/>
        <v>Gi</v>
      </c>
      <c r="F988" s="51">
        <v>50</v>
      </c>
      <c r="G988" s="51" t="s">
        <v>28</v>
      </c>
      <c r="H988" s="51" t="e">
        <v>#N/A</v>
      </c>
    </row>
    <row r="989" s="51" customFormat="1" spans="1:8">
      <c r="A989" s="57" t="s">
        <v>2256</v>
      </c>
      <c r="B989" s="58"/>
      <c r="C989" s="70" t="s">
        <v>2257</v>
      </c>
      <c r="D989" s="59" t="s">
        <v>57</v>
      </c>
      <c r="E989" s="60" t="str">
        <f ca="1" t="shared" si="15"/>
        <v>Gi</v>
      </c>
      <c r="F989" s="51">
        <v>50</v>
      </c>
      <c r="G989" s="51" t="s">
        <v>28</v>
      </c>
      <c r="H989" s="51" t="s">
        <v>57</v>
      </c>
    </row>
    <row r="990" s="51" customFormat="1" spans="1:8">
      <c r="A990" s="57" t="s">
        <v>2258</v>
      </c>
      <c r="B990" s="58"/>
      <c r="C990" s="70" t="s">
        <v>2259</v>
      </c>
      <c r="D990" s="59" t="s">
        <v>57</v>
      </c>
      <c r="E990" s="60" t="str">
        <f ca="1" t="shared" si="15"/>
        <v>Gi</v>
      </c>
      <c r="F990" s="51">
        <v>50</v>
      </c>
      <c r="G990" s="51" t="s">
        <v>28</v>
      </c>
      <c r="H990" s="51" t="e">
        <v>#N/A</v>
      </c>
    </row>
    <row r="991" s="51" customFormat="1" spans="1:8">
      <c r="A991" s="57" t="s">
        <v>2260</v>
      </c>
      <c r="B991" s="88"/>
      <c r="C991" s="70" t="s">
        <v>2259</v>
      </c>
      <c r="D991" s="59" t="s">
        <v>57</v>
      </c>
      <c r="E991" s="60" t="str">
        <f ca="1" t="shared" si="15"/>
        <v>Gi</v>
      </c>
      <c r="F991" s="51">
        <v>50</v>
      </c>
      <c r="G991" s="51" t="s">
        <v>28</v>
      </c>
      <c r="H991" s="51" t="e">
        <v>#N/A</v>
      </c>
    </row>
    <row r="992" s="51" customFormat="1" spans="1:8">
      <c r="A992" s="57" t="s">
        <v>2261</v>
      </c>
      <c r="B992" s="88"/>
      <c r="C992" s="70" t="s">
        <v>2259</v>
      </c>
      <c r="D992" s="59" t="s">
        <v>57</v>
      </c>
      <c r="E992" s="60" t="str">
        <f ca="1" t="shared" si="15"/>
        <v>Gi</v>
      </c>
      <c r="F992" s="51">
        <v>50</v>
      </c>
      <c r="G992" s="51" t="s">
        <v>28</v>
      </c>
      <c r="H992" s="51" t="s">
        <v>57</v>
      </c>
    </row>
    <row r="993" s="51" customFormat="1" spans="1:8">
      <c r="A993" s="57" t="s">
        <v>2262</v>
      </c>
      <c r="B993" s="88"/>
      <c r="C993" s="70" t="s">
        <v>2259</v>
      </c>
      <c r="D993" s="59" t="s">
        <v>57</v>
      </c>
      <c r="E993" s="60" t="str">
        <f ca="1" t="shared" si="15"/>
        <v>Gi</v>
      </c>
      <c r="F993" s="51">
        <v>50</v>
      </c>
      <c r="G993" s="51" t="s">
        <v>28</v>
      </c>
      <c r="H993" s="51" t="e">
        <v>#N/A</v>
      </c>
    </row>
    <row r="994" s="51" customFormat="1" spans="1:8">
      <c r="A994" s="57" t="s">
        <v>2263</v>
      </c>
      <c r="B994" s="88"/>
      <c r="C994" s="70" t="s">
        <v>2259</v>
      </c>
      <c r="D994" s="59" t="s">
        <v>236</v>
      </c>
      <c r="E994" s="60" t="str">
        <f ca="1" t="shared" si="15"/>
        <v>Gi</v>
      </c>
      <c r="F994" s="51">
        <v>50</v>
      </c>
      <c r="G994" s="51" t="s">
        <v>28</v>
      </c>
      <c r="H994" s="51" t="e">
        <v>#N/A</v>
      </c>
    </row>
    <row r="995" s="51" customFormat="1" spans="1:8">
      <c r="A995" s="57" t="s">
        <v>2264</v>
      </c>
      <c r="B995" s="88"/>
      <c r="C995" s="70" t="s">
        <v>2259</v>
      </c>
      <c r="D995" s="59" t="s">
        <v>57</v>
      </c>
      <c r="E995" s="60" t="str">
        <f ca="1" t="shared" si="15"/>
        <v>Gi</v>
      </c>
      <c r="F995" s="51">
        <v>50</v>
      </c>
      <c r="G995" s="51" t="s">
        <v>28</v>
      </c>
      <c r="H995" s="51" t="e">
        <v>#N/A</v>
      </c>
    </row>
    <row r="996" spans="1:8">
      <c r="A996" s="57" t="s">
        <v>2265</v>
      </c>
      <c r="B996" s="58" t="s">
        <v>491</v>
      </c>
      <c r="C996" s="70" t="s">
        <v>2266</v>
      </c>
      <c r="D996" s="59" t="s">
        <v>2267</v>
      </c>
      <c r="E996" s="60" t="str">
        <f ca="1" t="shared" si="15"/>
        <v>GT</v>
      </c>
      <c r="F996" s="51">
        <v>50</v>
      </c>
      <c r="G996" s="51" t="s">
        <v>28</v>
      </c>
      <c r="H996" s="51" t="s">
        <v>2267</v>
      </c>
    </row>
    <row r="997" spans="1:8">
      <c r="A997" s="57" t="s">
        <v>2268</v>
      </c>
      <c r="B997" s="58" t="s">
        <v>491</v>
      </c>
      <c r="C997" s="70" t="s">
        <v>2269</v>
      </c>
      <c r="D997" s="59" t="s">
        <v>27</v>
      </c>
      <c r="E997" s="60" t="str">
        <f ca="1" t="shared" si="15"/>
        <v>GT</v>
      </c>
      <c r="F997" s="51">
        <v>50</v>
      </c>
      <c r="G997" s="51" t="s">
        <v>28</v>
      </c>
      <c r="H997" s="51" t="s">
        <v>27</v>
      </c>
    </row>
    <row r="998" spans="1:8">
      <c r="A998" s="57" t="s">
        <v>2270</v>
      </c>
      <c r="B998" s="58" t="s">
        <v>491</v>
      </c>
      <c r="C998" s="70" t="s">
        <v>2271</v>
      </c>
      <c r="D998" s="59" t="s">
        <v>27</v>
      </c>
      <c r="E998" s="60" t="str">
        <f ca="1" t="shared" si="15"/>
        <v>GT</v>
      </c>
      <c r="F998" s="51">
        <v>50</v>
      </c>
      <c r="G998" s="51" t="s">
        <v>28</v>
      </c>
      <c r="H998" s="51" t="s">
        <v>27</v>
      </c>
    </row>
    <row r="999" spans="1:8">
      <c r="A999" s="57" t="s">
        <v>2272</v>
      </c>
      <c r="B999" s="58" t="s">
        <v>491</v>
      </c>
      <c r="C999" s="70" t="s">
        <v>2273</v>
      </c>
      <c r="D999" s="59" t="s">
        <v>27</v>
      </c>
      <c r="E999" s="60" t="str">
        <f ca="1" t="shared" si="15"/>
        <v>GT</v>
      </c>
      <c r="F999" s="51">
        <v>50</v>
      </c>
      <c r="G999" s="51" t="s">
        <v>28</v>
      </c>
      <c r="H999" s="51" t="s">
        <v>27</v>
      </c>
    </row>
    <row r="1000" spans="1:8">
      <c r="A1000" s="57" t="s">
        <v>2274</v>
      </c>
      <c r="B1000" s="115" t="s">
        <v>2275</v>
      </c>
      <c r="C1000" s="57" t="s">
        <v>2276</v>
      </c>
      <c r="D1000" s="59" t="s">
        <v>27</v>
      </c>
      <c r="E1000" s="60" t="str">
        <f ca="1" t="shared" si="15"/>
        <v>CO</v>
      </c>
      <c r="F1000" s="51">
        <v>50</v>
      </c>
      <c r="G1000" s="51" t="s">
        <v>28</v>
      </c>
      <c r="H1000" s="51">
        <v>0</v>
      </c>
    </row>
    <row r="1001" spans="1:8">
      <c r="A1001" s="57" t="s">
        <v>2277</v>
      </c>
      <c r="B1001" s="115" t="s">
        <v>2275</v>
      </c>
      <c r="C1001" s="57" t="s">
        <v>2278</v>
      </c>
      <c r="D1001" s="59" t="s">
        <v>27</v>
      </c>
      <c r="E1001" s="60" t="str">
        <f ca="1" t="shared" si="15"/>
        <v>CO</v>
      </c>
      <c r="F1001" s="51">
        <v>50</v>
      </c>
      <c r="G1001" s="51" t="s">
        <v>28</v>
      </c>
      <c r="H1001" s="51" t="e">
        <v>#N/A</v>
      </c>
    </row>
    <row r="1002" spans="1:8">
      <c r="A1002" s="57" t="s">
        <v>2279</v>
      </c>
      <c r="B1002" s="115" t="s">
        <v>2280</v>
      </c>
      <c r="C1002" s="57" t="s">
        <v>2281</v>
      </c>
      <c r="D1002" s="59" t="s">
        <v>27</v>
      </c>
      <c r="E1002" s="60" t="str">
        <f ca="1" t="shared" si="15"/>
        <v>CO</v>
      </c>
      <c r="F1002" s="51">
        <v>50</v>
      </c>
      <c r="G1002" s="51" t="s">
        <v>28</v>
      </c>
      <c r="H1002" s="51">
        <v>0</v>
      </c>
    </row>
    <row r="1003" spans="1:8">
      <c r="A1003" s="57" t="s">
        <v>2282</v>
      </c>
      <c r="B1003" s="115" t="s">
        <v>2283</v>
      </c>
      <c r="C1003" s="57" t="s">
        <v>2284</v>
      </c>
      <c r="D1003" s="59" t="s">
        <v>27</v>
      </c>
      <c r="E1003" s="60" t="str">
        <f ca="1" t="shared" si="15"/>
        <v>CO</v>
      </c>
      <c r="F1003" s="51">
        <v>50</v>
      </c>
      <c r="G1003" s="51" t="s">
        <v>28</v>
      </c>
      <c r="H1003" s="51">
        <v>0</v>
      </c>
    </row>
    <row r="1004" spans="1:8">
      <c r="A1004" s="57" t="s">
        <v>2285</v>
      </c>
      <c r="B1004" s="115" t="s">
        <v>2286</v>
      </c>
      <c r="C1004" s="57" t="s">
        <v>2287</v>
      </c>
      <c r="D1004" s="59" t="s">
        <v>27</v>
      </c>
      <c r="E1004" s="60" t="str">
        <f ca="1" t="shared" si="15"/>
        <v>CO</v>
      </c>
      <c r="F1004" s="51">
        <v>50</v>
      </c>
      <c r="G1004" s="51" t="s">
        <v>28</v>
      </c>
      <c r="H1004" s="51">
        <v>0</v>
      </c>
    </row>
    <row r="1005" spans="1:8">
      <c r="A1005" s="57" t="s">
        <v>2288</v>
      </c>
      <c r="B1005" s="115" t="s">
        <v>2289</v>
      </c>
      <c r="C1005" s="57" t="s">
        <v>2290</v>
      </c>
      <c r="D1005" s="59" t="s">
        <v>27</v>
      </c>
      <c r="E1005" s="60" t="str">
        <f ca="1" t="shared" si="15"/>
        <v>CO</v>
      </c>
      <c r="F1005" s="51">
        <v>50</v>
      </c>
      <c r="G1005" s="51" t="s">
        <v>28</v>
      </c>
      <c r="H1005" s="51">
        <v>0</v>
      </c>
    </row>
    <row r="1006" spans="1:8">
      <c r="A1006" s="57" t="s">
        <v>2291</v>
      </c>
      <c r="B1006" s="115" t="s">
        <v>2292</v>
      </c>
      <c r="C1006" s="57" t="s">
        <v>2293</v>
      </c>
      <c r="D1006" s="59" t="s">
        <v>27</v>
      </c>
      <c r="E1006" s="60" t="str">
        <f ca="1" t="shared" si="15"/>
        <v>CO</v>
      </c>
      <c r="F1006" s="51">
        <v>50</v>
      </c>
      <c r="G1006" s="51" t="s">
        <v>28</v>
      </c>
      <c r="H1006" s="51">
        <v>0</v>
      </c>
    </row>
    <row r="1007" spans="1:8">
      <c r="A1007" s="57" t="s">
        <v>2294</v>
      </c>
      <c r="B1007" s="115" t="s">
        <v>2295</v>
      </c>
      <c r="C1007" s="57" t="s">
        <v>2296</v>
      </c>
      <c r="D1007" s="59" t="s">
        <v>27</v>
      </c>
      <c r="E1007" s="60" t="str">
        <f ca="1" t="shared" si="15"/>
        <v>CO</v>
      </c>
      <c r="F1007" s="51">
        <v>50</v>
      </c>
      <c r="G1007" s="51" t="s">
        <v>28</v>
      </c>
      <c r="H1007" s="51">
        <v>0</v>
      </c>
    </row>
    <row r="1008" spans="1:8">
      <c r="A1008" s="57" t="s">
        <v>2297</v>
      </c>
      <c r="B1008" s="115" t="s">
        <v>2298</v>
      </c>
      <c r="C1008" s="57" t="s">
        <v>2299</v>
      </c>
      <c r="D1008" s="59" t="s">
        <v>27</v>
      </c>
      <c r="E1008" s="60" t="str">
        <f ca="1" t="shared" si="15"/>
        <v>CO</v>
      </c>
      <c r="F1008" s="51">
        <v>50</v>
      </c>
      <c r="G1008" s="51" t="s">
        <v>28</v>
      </c>
      <c r="H1008" s="51" t="e">
        <v>#N/A</v>
      </c>
    </row>
    <row r="1009" spans="1:8">
      <c r="A1009" s="57" t="s">
        <v>2300</v>
      </c>
      <c r="B1009" s="115" t="s">
        <v>2298</v>
      </c>
      <c r="C1009" s="57" t="s">
        <v>2301</v>
      </c>
      <c r="D1009" s="59" t="s">
        <v>27</v>
      </c>
      <c r="E1009" s="60" t="str">
        <f ca="1" t="shared" si="15"/>
        <v>CO</v>
      </c>
      <c r="F1009" s="51">
        <v>50</v>
      </c>
      <c r="G1009" s="51" t="s">
        <v>28</v>
      </c>
      <c r="H1009" s="51">
        <v>0</v>
      </c>
    </row>
    <row r="1010" spans="1:8">
      <c r="A1010" s="57" t="s">
        <v>2302</v>
      </c>
      <c r="B1010" s="115" t="s">
        <v>2298</v>
      </c>
      <c r="C1010" s="57" t="s">
        <v>2303</v>
      </c>
      <c r="D1010" s="59" t="s">
        <v>27</v>
      </c>
      <c r="E1010" s="60" t="str">
        <f ca="1" t="shared" si="15"/>
        <v>CO</v>
      </c>
      <c r="F1010" s="51">
        <v>50</v>
      </c>
      <c r="G1010" s="51" t="s">
        <v>28</v>
      </c>
      <c r="H1010" s="51" t="e">
        <v>#N/A</v>
      </c>
    </row>
    <row r="1011" spans="1:8">
      <c r="A1011" s="57" t="s">
        <v>2304</v>
      </c>
      <c r="B1011" s="115" t="s">
        <v>2298</v>
      </c>
      <c r="C1011" s="57" t="s">
        <v>2305</v>
      </c>
      <c r="D1011" s="59" t="s">
        <v>27</v>
      </c>
      <c r="E1011" s="60" t="str">
        <f ca="1" t="shared" si="15"/>
        <v>CO</v>
      </c>
      <c r="F1011" s="51">
        <v>50</v>
      </c>
      <c r="G1011" s="51" t="s">
        <v>28</v>
      </c>
      <c r="H1011" s="51" t="e">
        <v>#N/A</v>
      </c>
    </row>
    <row r="1012" spans="1:8">
      <c r="A1012" s="57" t="s">
        <v>2306</v>
      </c>
      <c r="B1012" s="115" t="s">
        <v>2298</v>
      </c>
      <c r="C1012" s="57" t="s">
        <v>2307</v>
      </c>
      <c r="D1012" s="59" t="s">
        <v>27</v>
      </c>
      <c r="E1012" s="60" t="str">
        <f ca="1" t="shared" si="15"/>
        <v>CO</v>
      </c>
      <c r="F1012" s="51">
        <v>50</v>
      </c>
      <c r="G1012" s="51" t="s">
        <v>28</v>
      </c>
      <c r="H1012" s="51" t="e">
        <v>#N/A</v>
      </c>
    </row>
    <row r="1013" s="51" customFormat="1" spans="1:8">
      <c r="A1013" s="57" t="s">
        <v>2308</v>
      </c>
      <c r="B1013" s="115" t="s">
        <v>2275</v>
      </c>
      <c r="C1013" s="89" t="s">
        <v>2309</v>
      </c>
      <c r="D1013" s="59" t="s">
        <v>27</v>
      </c>
      <c r="E1013" s="60" t="str">
        <f ca="1" t="shared" si="15"/>
        <v>CO</v>
      </c>
      <c r="F1013" s="51">
        <v>50</v>
      </c>
      <c r="G1013" s="51" t="s">
        <v>28</v>
      </c>
      <c r="H1013" s="51">
        <v>0</v>
      </c>
    </row>
    <row r="1014" s="51" customFormat="1" spans="1:8">
      <c r="A1014" s="57" t="s">
        <v>2310</v>
      </c>
      <c r="B1014" s="115" t="s">
        <v>2275</v>
      </c>
      <c r="C1014" s="57" t="s">
        <v>2311</v>
      </c>
      <c r="D1014" s="59" t="s">
        <v>27</v>
      </c>
      <c r="E1014" s="60" t="str">
        <f ca="1" t="shared" si="15"/>
        <v>CO</v>
      </c>
      <c r="F1014" s="51">
        <v>50</v>
      </c>
      <c r="G1014" s="51" t="s">
        <v>28</v>
      </c>
      <c r="H1014" s="51" t="e">
        <v>#N/A</v>
      </c>
    </row>
    <row r="1015" s="51" customFormat="1" spans="1:8">
      <c r="A1015" s="57" t="s">
        <v>2312</v>
      </c>
      <c r="B1015" s="115" t="s">
        <v>2275</v>
      </c>
      <c r="C1015" s="57" t="s">
        <v>2313</v>
      </c>
      <c r="D1015" s="59" t="s">
        <v>27</v>
      </c>
      <c r="E1015" s="60" t="str">
        <f ca="1" t="shared" si="15"/>
        <v>CO</v>
      </c>
      <c r="F1015" s="51">
        <v>50</v>
      </c>
      <c r="G1015" s="51" t="s">
        <v>28</v>
      </c>
      <c r="H1015" s="51" t="e">
        <v>#N/A</v>
      </c>
    </row>
    <row r="1016" s="51" customFormat="1" spans="1:8">
      <c r="A1016" s="57" t="s">
        <v>2314</v>
      </c>
      <c r="B1016" s="115" t="s">
        <v>2275</v>
      </c>
      <c r="C1016" s="57" t="s">
        <v>2315</v>
      </c>
      <c r="D1016" s="59" t="s">
        <v>27</v>
      </c>
      <c r="E1016" s="60" t="str">
        <f ca="1" t="shared" si="15"/>
        <v>CO</v>
      </c>
      <c r="F1016" s="51">
        <v>50</v>
      </c>
      <c r="G1016" s="51" t="s">
        <v>28</v>
      </c>
      <c r="H1016" s="51" t="e">
        <v>#N/A</v>
      </c>
    </row>
    <row r="1017" s="51" customFormat="1" spans="1:8">
      <c r="A1017" s="57" t="s">
        <v>2316</v>
      </c>
      <c r="B1017" s="115" t="s">
        <v>2275</v>
      </c>
      <c r="C1017" s="57" t="s">
        <v>2317</v>
      </c>
      <c r="D1017" s="59" t="s">
        <v>27</v>
      </c>
      <c r="E1017" s="60" t="str">
        <f ca="1" t="shared" si="15"/>
        <v>CO</v>
      </c>
      <c r="F1017" s="51">
        <v>50</v>
      </c>
      <c r="G1017" s="51" t="s">
        <v>28</v>
      </c>
      <c r="H1017" s="51" t="e">
        <v>#N/A</v>
      </c>
    </row>
    <row r="1018" s="51" customFormat="1" spans="1:8">
      <c r="A1018" s="57" t="s">
        <v>2318</v>
      </c>
      <c r="B1018" s="115" t="s">
        <v>2275</v>
      </c>
      <c r="C1018" s="57" t="s">
        <v>2319</v>
      </c>
      <c r="D1018" s="59" t="s">
        <v>27</v>
      </c>
      <c r="E1018" s="60" t="str">
        <f ca="1" t="shared" si="15"/>
        <v>CO</v>
      </c>
      <c r="F1018" s="51">
        <v>50</v>
      </c>
      <c r="G1018" s="51" t="s">
        <v>28</v>
      </c>
      <c r="H1018" s="51">
        <v>2</v>
      </c>
    </row>
    <row r="1019" s="51" customFormat="1" spans="1:8">
      <c r="A1019" s="57" t="s">
        <v>2320</v>
      </c>
      <c r="B1019" s="115" t="s">
        <v>2280</v>
      </c>
      <c r="C1019" s="57" t="s">
        <v>2321</v>
      </c>
      <c r="D1019" s="59" t="s">
        <v>27</v>
      </c>
      <c r="E1019" s="60" t="str">
        <f ca="1" t="shared" si="15"/>
        <v>CO</v>
      </c>
      <c r="F1019" s="51">
        <v>50</v>
      </c>
      <c r="G1019" s="51" t="s">
        <v>28</v>
      </c>
      <c r="H1019" s="51" t="s">
        <v>27</v>
      </c>
    </row>
    <row r="1020" s="51" customFormat="1" spans="1:8">
      <c r="A1020" s="57" t="s">
        <v>2322</v>
      </c>
      <c r="B1020" s="115" t="s">
        <v>2280</v>
      </c>
      <c r="C1020" s="57" t="s">
        <v>2323</v>
      </c>
      <c r="D1020" s="59" t="s">
        <v>27</v>
      </c>
      <c r="E1020" s="60" t="str">
        <f ca="1" t="shared" si="15"/>
        <v>CO</v>
      </c>
      <c r="F1020" s="51">
        <v>50</v>
      </c>
      <c r="G1020" s="51" t="s">
        <v>28</v>
      </c>
      <c r="H1020" s="51" t="e">
        <v>#N/A</v>
      </c>
    </row>
    <row r="1021" s="51" customFormat="1" spans="1:8">
      <c r="A1021" s="57" t="s">
        <v>2324</v>
      </c>
      <c r="B1021" s="115" t="s">
        <v>2280</v>
      </c>
      <c r="C1021" s="57" t="s">
        <v>2325</v>
      </c>
      <c r="D1021" s="59" t="s">
        <v>27</v>
      </c>
      <c r="E1021" s="60" t="str">
        <f ca="1" t="shared" si="15"/>
        <v>CO</v>
      </c>
      <c r="F1021" s="51">
        <v>50</v>
      </c>
      <c r="G1021" s="51" t="s">
        <v>28</v>
      </c>
      <c r="H1021" s="51" t="s">
        <v>27</v>
      </c>
    </row>
    <row r="1022" s="51" customFormat="1" spans="1:8">
      <c r="A1022" s="57" t="s">
        <v>2326</v>
      </c>
      <c r="B1022" s="115" t="s">
        <v>2283</v>
      </c>
      <c r="C1022" s="57" t="s">
        <v>2327</v>
      </c>
      <c r="D1022" s="59" t="s">
        <v>27</v>
      </c>
      <c r="E1022" s="60" t="str">
        <f ca="1" t="shared" si="15"/>
        <v>CO</v>
      </c>
      <c r="F1022" s="51">
        <v>50</v>
      </c>
      <c r="G1022" s="51" t="s">
        <v>28</v>
      </c>
      <c r="H1022" s="51">
        <v>0</v>
      </c>
    </row>
    <row r="1023" s="51" customFormat="1" spans="1:8">
      <c r="A1023" s="57" t="s">
        <v>2328</v>
      </c>
      <c r="B1023" s="115" t="s">
        <v>2286</v>
      </c>
      <c r="C1023" s="57" t="s">
        <v>2329</v>
      </c>
      <c r="D1023" s="59" t="s">
        <v>27</v>
      </c>
      <c r="E1023" s="60" t="str">
        <f ca="1" t="shared" si="15"/>
        <v>CO</v>
      </c>
      <c r="F1023" s="51">
        <v>50</v>
      </c>
      <c r="G1023" s="51" t="s">
        <v>28</v>
      </c>
      <c r="H1023" s="51">
        <v>0</v>
      </c>
    </row>
    <row r="1024" s="51" customFormat="1" spans="1:8">
      <c r="A1024" s="57" t="s">
        <v>2330</v>
      </c>
      <c r="B1024" s="115" t="s">
        <v>2289</v>
      </c>
      <c r="C1024" s="57" t="s">
        <v>2331</v>
      </c>
      <c r="D1024" s="59" t="s">
        <v>27</v>
      </c>
      <c r="E1024" s="60" t="str">
        <f ca="1" t="shared" si="15"/>
        <v>CO</v>
      </c>
      <c r="F1024" s="51">
        <v>50</v>
      </c>
      <c r="G1024" s="51" t="s">
        <v>28</v>
      </c>
      <c r="H1024" s="51">
        <v>0</v>
      </c>
    </row>
    <row r="1025" s="51" customFormat="1" spans="1:8">
      <c r="A1025" s="57" t="s">
        <v>2332</v>
      </c>
      <c r="B1025" s="115" t="s">
        <v>2292</v>
      </c>
      <c r="C1025" s="57" t="s">
        <v>2333</v>
      </c>
      <c r="D1025" s="59" t="s">
        <v>27</v>
      </c>
      <c r="E1025" s="60" t="str">
        <f ca="1" t="shared" si="15"/>
        <v>CO</v>
      </c>
      <c r="F1025" s="51">
        <v>50</v>
      </c>
      <c r="G1025" s="51" t="s">
        <v>28</v>
      </c>
      <c r="H1025" s="51">
        <v>0</v>
      </c>
    </row>
    <row r="1026" s="51" customFormat="1" spans="1:8">
      <c r="A1026" s="57" t="s">
        <v>2334</v>
      </c>
      <c r="B1026" s="115" t="s">
        <v>2295</v>
      </c>
      <c r="C1026" s="57" t="s">
        <v>2335</v>
      </c>
      <c r="D1026" s="59" t="s">
        <v>27</v>
      </c>
      <c r="E1026" s="60" t="str">
        <f ca="1" t="shared" si="15"/>
        <v>CO</v>
      </c>
      <c r="F1026" s="51">
        <v>50</v>
      </c>
      <c r="G1026" s="51" t="s">
        <v>28</v>
      </c>
      <c r="H1026" s="51" t="s">
        <v>27</v>
      </c>
    </row>
    <row r="1027" s="51" customFormat="1" spans="1:8">
      <c r="A1027" s="57" t="s">
        <v>2336</v>
      </c>
      <c r="B1027" s="115" t="s">
        <v>2298</v>
      </c>
      <c r="C1027" s="57" t="s">
        <v>2337</v>
      </c>
      <c r="D1027" s="59" t="s">
        <v>27</v>
      </c>
      <c r="E1027" s="60" t="str">
        <f ca="1" t="shared" ref="E1027:E1090" si="16">LEFT(A1027,2)</f>
        <v>CO</v>
      </c>
      <c r="F1027" s="51">
        <v>50</v>
      </c>
      <c r="G1027" s="51" t="s">
        <v>28</v>
      </c>
      <c r="H1027" s="51" t="s">
        <v>27</v>
      </c>
    </row>
    <row r="1028" s="51" customFormat="1" spans="1:8">
      <c r="A1028" s="57" t="s">
        <v>2338</v>
      </c>
      <c r="B1028" s="115" t="s">
        <v>2298</v>
      </c>
      <c r="C1028" s="57" t="s">
        <v>2339</v>
      </c>
      <c r="D1028" s="59" t="s">
        <v>27</v>
      </c>
      <c r="E1028" s="60" t="str">
        <f ca="1" t="shared" si="16"/>
        <v>CO</v>
      </c>
      <c r="F1028" s="51">
        <v>50</v>
      </c>
      <c r="G1028" s="51" t="s">
        <v>28</v>
      </c>
      <c r="H1028" s="51" t="e">
        <v>#N/A</v>
      </c>
    </row>
    <row r="1029" s="51" customFormat="1" spans="1:8">
      <c r="A1029" s="57" t="s">
        <v>2340</v>
      </c>
      <c r="B1029" s="115" t="s">
        <v>2341</v>
      </c>
      <c r="C1029" s="57" t="s">
        <v>2342</v>
      </c>
      <c r="D1029" s="59" t="s">
        <v>27</v>
      </c>
      <c r="E1029" s="60" t="str">
        <f ca="1" t="shared" si="16"/>
        <v>CO</v>
      </c>
      <c r="F1029" s="51">
        <v>50</v>
      </c>
      <c r="G1029" s="51" t="s">
        <v>28</v>
      </c>
      <c r="H1029" s="51" t="s">
        <v>27</v>
      </c>
    </row>
    <row r="1030" s="51" customFormat="1" spans="1:8">
      <c r="A1030" s="57" t="s">
        <v>2343</v>
      </c>
      <c r="B1030" s="115" t="s">
        <v>2341</v>
      </c>
      <c r="C1030" s="57" t="s">
        <v>2344</v>
      </c>
      <c r="D1030" s="59" t="s">
        <v>27</v>
      </c>
      <c r="E1030" s="60" t="str">
        <f ca="1" t="shared" si="16"/>
        <v>CO</v>
      </c>
      <c r="F1030" s="51">
        <v>50</v>
      </c>
      <c r="G1030" s="51" t="s">
        <v>28</v>
      </c>
      <c r="H1030" s="51" t="s">
        <v>27</v>
      </c>
    </row>
    <row r="1031" s="51" customFormat="1" spans="1:8">
      <c r="A1031" s="57" t="s">
        <v>2345</v>
      </c>
      <c r="B1031" s="58"/>
      <c r="C1031" s="90" t="s">
        <v>2346</v>
      </c>
      <c r="D1031" s="59" t="s">
        <v>27</v>
      </c>
      <c r="E1031" s="60" t="str">
        <f ca="1" t="shared" si="16"/>
        <v>CH</v>
      </c>
      <c r="F1031" s="51">
        <v>50</v>
      </c>
      <c r="G1031" s="51" t="s">
        <v>28</v>
      </c>
      <c r="H1031" s="51" t="e">
        <v>#N/A</v>
      </c>
    </row>
    <row r="1032" s="51" customFormat="1" spans="1:8">
      <c r="A1032" s="57" t="s">
        <v>2347</v>
      </c>
      <c r="B1032" s="58"/>
      <c r="C1032" s="90" t="s">
        <v>2348</v>
      </c>
      <c r="D1032" s="59" t="s">
        <v>27</v>
      </c>
      <c r="E1032" s="60" t="str">
        <f ca="1" t="shared" si="16"/>
        <v>CH</v>
      </c>
      <c r="F1032" s="51">
        <v>50</v>
      </c>
      <c r="G1032" s="51" t="s">
        <v>28</v>
      </c>
      <c r="H1032" s="51" t="e">
        <v>#N/A</v>
      </c>
    </row>
    <row r="1033" s="51" customFormat="1" spans="1:8">
      <c r="A1033" s="57" t="s">
        <v>2349</v>
      </c>
      <c r="B1033" s="58"/>
      <c r="C1033" s="90" t="s">
        <v>2350</v>
      </c>
      <c r="D1033" s="59" t="s">
        <v>27</v>
      </c>
      <c r="E1033" s="60" t="str">
        <f ca="1" t="shared" si="16"/>
        <v>CH</v>
      </c>
      <c r="F1033" s="51">
        <v>50</v>
      </c>
      <c r="G1033" s="51" t="s">
        <v>28</v>
      </c>
      <c r="H1033" s="51" t="s">
        <v>27</v>
      </c>
    </row>
    <row r="1034" s="51" customFormat="1" spans="1:8">
      <c r="A1034" s="57" t="s">
        <v>2351</v>
      </c>
      <c r="B1034" s="58"/>
      <c r="C1034" s="90" t="s">
        <v>2352</v>
      </c>
      <c r="D1034" s="59" t="s">
        <v>27</v>
      </c>
      <c r="E1034" s="60" t="str">
        <f ca="1" t="shared" si="16"/>
        <v>CH</v>
      </c>
      <c r="F1034" s="51">
        <v>50</v>
      </c>
      <c r="G1034" s="51" t="s">
        <v>28</v>
      </c>
      <c r="H1034" s="51" t="s">
        <v>27</v>
      </c>
    </row>
    <row r="1035" s="51" customFormat="1" spans="1:8">
      <c r="A1035" s="57" t="s">
        <v>2353</v>
      </c>
      <c r="B1035" s="58"/>
      <c r="C1035" s="90" t="s">
        <v>2354</v>
      </c>
      <c r="D1035" s="59" t="s">
        <v>27</v>
      </c>
      <c r="E1035" s="60" t="str">
        <f ca="1" t="shared" si="16"/>
        <v>CH</v>
      </c>
      <c r="F1035" s="51">
        <v>50</v>
      </c>
      <c r="G1035" s="51" t="s">
        <v>28</v>
      </c>
      <c r="H1035" s="51" t="s">
        <v>27</v>
      </c>
    </row>
    <row r="1036" s="51" customFormat="1" spans="1:8">
      <c r="A1036" s="57" t="s">
        <v>2355</v>
      </c>
      <c r="B1036" s="58"/>
      <c r="C1036" s="90" t="s">
        <v>2356</v>
      </c>
      <c r="D1036" s="59" t="s">
        <v>27</v>
      </c>
      <c r="E1036" s="60" t="str">
        <f ca="1" t="shared" si="16"/>
        <v>CH</v>
      </c>
      <c r="F1036" s="51">
        <v>50</v>
      </c>
      <c r="G1036" s="51" t="s">
        <v>28</v>
      </c>
      <c r="H1036" s="51" t="s">
        <v>27</v>
      </c>
    </row>
    <row r="1037" s="51" customFormat="1" spans="1:8">
      <c r="A1037" s="57" t="s">
        <v>2357</v>
      </c>
      <c r="B1037" s="58"/>
      <c r="C1037" s="90" t="s">
        <v>2358</v>
      </c>
      <c r="D1037" s="59" t="s">
        <v>27</v>
      </c>
      <c r="E1037" s="60" t="str">
        <f ca="1" t="shared" si="16"/>
        <v>CH</v>
      </c>
      <c r="F1037" s="51">
        <v>50</v>
      </c>
      <c r="G1037" s="51" t="s">
        <v>28</v>
      </c>
      <c r="H1037" s="51" t="s">
        <v>27</v>
      </c>
    </row>
    <row r="1038" s="51" customFormat="1" spans="1:8">
      <c r="A1038" s="57" t="s">
        <v>2359</v>
      </c>
      <c r="B1038" s="58"/>
      <c r="C1038" s="90" t="s">
        <v>2360</v>
      </c>
      <c r="D1038" s="59" t="s">
        <v>27</v>
      </c>
      <c r="E1038" s="60" t="str">
        <f ca="1" t="shared" si="16"/>
        <v>CH</v>
      </c>
      <c r="F1038" s="51">
        <v>50</v>
      </c>
      <c r="G1038" s="51" t="s">
        <v>28</v>
      </c>
      <c r="H1038" s="51" t="s">
        <v>27</v>
      </c>
    </row>
    <row r="1039" s="51" customFormat="1" spans="1:8">
      <c r="A1039" s="57" t="s">
        <v>2361</v>
      </c>
      <c r="B1039" s="58"/>
      <c r="C1039" s="90" t="s">
        <v>2362</v>
      </c>
      <c r="D1039" s="59" t="s">
        <v>27</v>
      </c>
      <c r="E1039" s="60" t="str">
        <f ca="1" t="shared" si="16"/>
        <v>CH</v>
      </c>
      <c r="F1039" s="51">
        <v>50</v>
      </c>
      <c r="G1039" s="51" t="s">
        <v>28</v>
      </c>
      <c r="H1039" s="51" t="s">
        <v>27</v>
      </c>
    </row>
    <row r="1040" s="51" customFormat="1" spans="1:8">
      <c r="A1040" s="57" t="s">
        <v>2363</v>
      </c>
      <c r="B1040" s="58"/>
      <c r="C1040" s="90" t="s">
        <v>2364</v>
      </c>
      <c r="D1040" s="59" t="s">
        <v>27</v>
      </c>
      <c r="E1040" s="60" t="str">
        <f ca="1" t="shared" si="16"/>
        <v>CH</v>
      </c>
      <c r="F1040" s="51">
        <v>50</v>
      </c>
      <c r="G1040" s="51" t="s">
        <v>28</v>
      </c>
      <c r="H1040" s="51" t="s">
        <v>27</v>
      </c>
    </row>
    <row r="1041" s="51" customFormat="1" spans="1:8">
      <c r="A1041" s="57" t="s">
        <v>2365</v>
      </c>
      <c r="B1041" s="58"/>
      <c r="C1041" s="90" t="s">
        <v>2366</v>
      </c>
      <c r="D1041" s="59" t="s">
        <v>27</v>
      </c>
      <c r="E1041" s="60" t="str">
        <f ca="1" t="shared" si="16"/>
        <v>CH</v>
      </c>
      <c r="F1041" s="51">
        <v>50</v>
      </c>
      <c r="G1041" s="51" t="s">
        <v>28</v>
      </c>
      <c r="H1041" s="51" t="s">
        <v>27</v>
      </c>
    </row>
    <row r="1042" s="51" customFormat="1" spans="1:8">
      <c r="A1042" s="57" t="s">
        <v>2367</v>
      </c>
      <c r="B1042" s="58"/>
      <c r="C1042" s="90" t="s">
        <v>2368</v>
      </c>
      <c r="D1042" s="59" t="s">
        <v>27</v>
      </c>
      <c r="E1042" s="60" t="str">
        <f ca="1" t="shared" si="16"/>
        <v>CH</v>
      </c>
      <c r="F1042" s="51">
        <v>50</v>
      </c>
      <c r="G1042" s="51" t="s">
        <v>28</v>
      </c>
      <c r="H1042" s="51" t="e">
        <v>#N/A</v>
      </c>
    </row>
    <row r="1043" s="51" customFormat="1" spans="1:8">
      <c r="A1043" s="57" t="s">
        <v>2369</v>
      </c>
      <c r="B1043" s="58"/>
      <c r="C1043" s="90" t="s">
        <v>2370</v>
      </c>
      <c r="D1043" s="59" t="s">
        <v>27</v>
      </c>
      <c r="E1043" s="60" t="str">
        <f ca="1" t="shared" si="16"/>
        <v>CH</v>
      </c>
      <c r="F1043" s="51">
        <v>50</v>
      </c>
      <c r="G1043" s="51" t="s">
        <v>28</v>
      </c>
      <c r="H1043" s="51" t="s">
        <v>27</v>
      </c>
    </row>
    <row r="1044" s="51" customFormat="1" spans="1:8">
      <c r="A1044" s="57" t="s">
        <v>2371</v>
      </c>
      <c r="B1044" s="58"/>
      <c r="C1044" s="90" t="s">
        <v>2372</v>
      </c>
      <c r="D1044" s="59" t="s">
        <v>27</v>
      </c>
      <c r="E1044" s="60" t="str">
        <f ca="1" t="shared" si="16"/>
        <v>CH</v>
      </c>
      <c r="F1044" s="51">
        <v>50</v>
      </c>
      <c r="G1044" s="51" t="s">
        <v>28</v>
      </c>
      <c r="H1044" s="51" t="s">
        <v>27</v>
      </c>
    </row>
    <row r="1045" s="51" customFormat="1" spans="1:8">
      <c r="A1045" s="57" t="s">
        <v>2373</v>
      </c>
      <c r="B1045" s="58"/>
      <c r="C1045" s="90" t="s">
        <v>2374</v>
      </c>
      <c r="D1045" s="59" t="s">
        <v>57</v>
      </c>
      <c r="E1045" s="60" t="str">
        <f ca="1" t="shared" si="16"/>
        <v>CH</v>
      </c>
      <c r="F1045" s="51">
        <v>50</v>
      </c>
      <c r="G1045" s="51" t="s">
        <v>28</v>
      </c>
      <c r="H1045" s="51">
        <v>0</v>
      </c>
    </row>
    <row r="1046" s="51" customFormat="1" spans="1:8">
      <c r="A1046" s="57" t="s">
        <v>2375</v>
      </c>
      <c r="B1046" s="58"/>
      <c r="C1046" s="90" t="s">
        <v>2376</v>
      </c>
      <c r="D1046" s="59" t="s">
        <v>27</v>
      </c>
      <c r="E1046" s="60" t="str">
        <f ca="1" t="shared" si="16"/>
        <v>CH</v>
      </c>
      <c r="F1046" s="51">
        <v>50</v>
      </c>
      <c r="G1046" s="51" t="s">
        <v>28</v>
      </c>
      <c r="H1046" s="51" t="s">
        <v>27</v>
      </c>
    </row>
    <row r="1047" s="51" customFormat="1" spans="1:8">
      <c r="A1047" s="57" t="s">
        <v>2377</v>
      </c>
      <c r="B1047" s="58"/>
      <c r="C1047" s="90" t="s">
        <v>2378</v>
      </c>
      <c r="D1047" s="59" t="s">
        <v>27</v>
      </c>
      <c r="E1047" s="60" t="str">
        <f ca="1" t="shared" si="16"/>
        <v>CH</v>
      </c>
      <c r="F1047" s="51">
        <v>50</v>
      </c>
      <c r="G1047" s="51" t="s">
        <v>28</v>
      </c>
      <c r="H1047" s="51" t="s">
        <v>27</v>
      </c>
    </row>
    <row r="1048" s="51" customFormat="1" spans="1:8">
      <c r="A1048" s="57" t="s">
        <v>2379</v>
      </c>
      <c r="B1048" s="58"/>
      <c r="C1048" s="90" t="s">
        <v>2380</v>
      </c>
      <c r="D1048" s="59" t="s">
        <v>57</v>
      </c>
      <c r="E1048" s="60" t="str">
        <f ca="1" t="shared" si="16"/>
        <v>CH</v>
      </c>
      <c r="F1048" s="51">
        <v>50</v>
      </c>
      <c r="G1048" s="51" t="s">
        <v>28</v>
      </c>
      <c r="H1048" s="51">
        <v>0</v>
      </c>
    </row>
    <row r="1049" spans="1:8">
      <c r="A1049" s="57" t="s">
        <v>2381</v>
      </c>
      <c r="B1049" s="59"/>
      <c r="C1049" s="70" t="s">
        <v>2382</v>
      </c>
      <c r="D1049" s="59" t="s">
        <v>942</v>
      </c>
      <c r="E1049" s="60" t="str">
        <f ca="1" t="shared" si="16"/>
        <v>DK</v>
      </c>
      <c r="F1049" s="51">
        <v>50</v>
      </c>
      <c r="G1049" s="51" t="s">
        <v>28</v>
      </c>
      <c r="H1049" s="51" t="e">
        <v>#N/A</v>
      </c>
    </row>
    <row r="1050" spans="1:8">
      <c r="A1050" s="57" t="s">
        <v>2383</v>
      </c>
      <c r="B1050" s="59"/>
      <c r="C1050" s="70" t="s">
        <v>2384</v>
      </c>
      <c r="D1050" s="59" t="s">
        <v>942</v>
      </c>
      <c r="E1050" s="60" t="str">
        <f ca="1" t="shared" si="16"/>
        <v>DV</v>
      </c>
      <c r="F1050" s="51">
        <v>50</v>
      </c>
      <c r="G1050" s="51" t="s">
        <v>28</v>
      </c>
      <c r="H1050" s="51" t="e">
        <v>#N/A</v>
      </c>
    </row>
    <row r="1051" spans="1:8">
      <c r="A1051" s="57" t="s">
        <v>2385</v>
      </c>
      <c r="B1051" s="59"/>
      <c r="C1051" s="70" t="s">
        <v>2386</v>
      </c>
      <c r="D1051" s="59" t="s">
        <v>942</v>
      </c>
      <c r="E1051" s="60" t="str">
        <f ca="1" t="shared" si="16"/>
        <v>Du</v>
      </c>
      <c r="F1051" s="51">
        <v>50</v>
      </c>
      <c r="G1051" s="51" t="s">
        <v>28</v>
      </c>
      <c r="H1051" s="51">
        <v>0</v>
      </c>
    </row>
    <row r="1052" spans="1:8">
      <c r="A1052" s="57" t="s">
        <v>2387</v>
      </c>
      <c r="B1052" s="59"/>
      <c r="C1052" s="70" t="s">
        <v>2388</v>
      </c>
      <c r="D1052" s="59" t="s">
        <v>942</v>
      </c>
      <c r="E1052" s="60" t="str">
        <f ca="1" t="shared" si="16"/>
        <v>Du</v>
      </c>
      <c r="F1052" s="51">
        <v>50</v>
      </c>
      <c r="G1052" s="51" t="s">
        <v>28</v>
      </c>
      <c r="H1052" s="51" t="e">
        <v>#N/A</v>
      </c>
    </row>
    <row r="1053" spans="1:8">
      <c r="A1053" s="57" t="s">
        <v>2389</v>
      </c>
      <c r="B1053" s="59"/>
      <c r="C1053" s="70" t="s">
        <v>2390</v>
      </c>
      <c r="D1053" s="59" t="s">
        <v>942</v>
      </c>
      <c r="E1053" s="60" t="str">
        <f ca="1" t="shared" si="16"/>
        <v>Du</v>
      </c>
      <c r="F1053" s="51">
        <v>50</v>
      </c>
      <c r="G1053" s="51" t="s">
        <v>28</v>
      </c>
      <c r="H1053" s="51" t="e">
        <v>#N/A</v>
      </c>
    </row>
    <row r="1054" spans="1:8">
      <c r="A1054" s="57" t="s">
        <v>2391</v>
      </c>
      <c r="B1054" s="59"/>
      <c r="C1054" s="70" t="s">
        <v>2392</v>
      </c>
      <c r="D1054" s="59" t="s">
        <v>942</v>
      </c>
      <c r="E1054" s="60" t="str">
        <f ca="1" t="shared" si="16"/>
        <v>Du</v>
      </c>
      <c r="F1054" s="51">
        <v>50</v>
      </c>
      <c r="G1054" s="51" t="s">
        <v>28</v>
      </c>
      <c r="H1054" s="51">
        <v>0</v>
      </c>
    </row>
    <row r="1055" spans="1:8">
      <c r="A1055" s="57" t="s">
        <v>2393</v>
      </c>
      <c r="B1055" s="59"/>
      <c r="C1055" s="70" t="s">
        <v>2394</v>
      </c>
      <c r="D1055" s="59" t="s">
        <v>942</v>
      </c>
      <c r="E1055" s="60" t="str">
        <f ca="1" t="shared" si="16"/>
        <v>Du</v>
      </c>
      <c r="F1055" s="51">
        <v>50</v>
      </c>
      <c r="G1055" s="51" t="s">
        <v>28</v>
      </c>
      <c r="H1055" s="51">
        <v>0</v>
      </c>
    </row>
    <row r="1056" spans="1:8">
      <c r="A1056" s="57" t="s">
        <v>2395</v>
      </c>
      <c r="B1056" s="59"/>
      <c r="C1056" s="70" t="s">
        <v>2396</v>
      </c>
      <c r="D1056" s="59" t="s">
        <v>942</v>
      </c>
      <c r="E1056" s="60" t="str">
        <f ca="1" t="shared" si="16"/>
        <v>Du</v>
      </c>
      <c r="F1056" s="51">
        <v>50</v>
      </c>
      <c r="G1056" s="51" t="s">
        <v>28</v>
      </c>
      <c r="H1056" s="51">
        <v>0</v>
      </c>
    </row>
    <row r="1057" spans="1:8">
      <c r="A1057" s="57" t="s">
        <v>2397</v>
      </c>
      <c r="B1057" s="59" t="s">
        <v>2398</v>
      </c>
      <c r="C1057" s="70" t="s">
        <v>2399</v>
      </c>
      <c r="D1057" s="59" t="s">
        <v>57</v>
      </c>
      <c r="E1057" s="60" t="str">
        <f ca="1" t="shared" si="16"/>
        <v>DE</v>
      </c>
      <c r="F1057" s="51">
        <v>50</v>
      </c>
      <c r="G1057" s="51" t="s">
        <v>28</v>
      </c>
      <c r="H1057" s="51" t="e">
        <v>#N/A</v>
      </c>
    </row>
    <row r="1058" s="51" customFormat="1" spans="1:8">
      <c r="A1058" s="57" t="s">
        <v>2400</v>
      </c>
      <c r="B1058" s="59"/>
      <c r="C1058" s="70" t="s">
        <v>2401</v>
      </c>
      <c r="D1058" s="59" t="s">
        <v>241</v>
      </c>
      <c r="E1058" s="60" t="str">
        <f ca="1" t="shared" si="16"/>
        <v>D1</v>
      </c>
      <c r="F1058" s="51">
        <v>50</v>
      </c>
      <c r="G1058" s="51" t="s">
        <v>28</v>
      </c>
      <c r="H1058" s="51">
        <v>0</v>
      </c>
    </row>
    <row r="1059" spans="1:8">
      <c r="A1059" s="57" t="s">
        <v>2402</v>
      </c>
      <c r="B1059" s="63"/>
      <c r="C1059" s="70" t="s">
        <v>2403</v>
      </c>
      <c r="D1059" s="59" t="s">
        <v>241</v>
      </c>
      <c r="E1059" s="60" t="str">
        <f ca="1" t="shared" si="16"/>
        <v>D2</v>
      </c>
      <c r="F1059" s="51">
        <v>50</v>
      </c>
      <c r="G1059" s="51" t="s">
        <v>28</v>
      </c>
      <c r="H1059" s="51" t="e">
        <v>#N/A</v>
      </c>
    </row>
    <row r="1060" spans="1:8">
      <c r="A1060" s="57" t="s">
        <v>2404</v>
      </c>
      <c r="B1060" s="59"/>
      <c r="C1060" s="70" t="s">
        <v>2405</v>
      </c>
      <c r="D1060" s="59" t="s">
        <v>241</v>
      </c>
      <c r="E1060" s="60" t="str">
        <f ca="1" t="shared" si="16"/>
        <v>D3</v>
      </c>
      <c r="F1060" s="51">
        <v>50</v>
      </c>
      <c r="G1060" s="51" t="s">
        <v>28</v>
      </c>
      <c r="H1060" s="51" t="e">
        <v>#N/A</v>
      </c>
    </row>
    <row r="1061" spans="1:8">
      <c r="A1061" s="57" t="s">
        <v>2406</v>
      </c>
      <c r="B1061" s="59"/>
      <c r="C1061" s="70" t="s">
        <v>2407</v>
      </c>
      <c r="D1061" s="59" t="s">
        <v>2408</v>
      </c>
      <c r="E1061" s="60" t="str">
        <f ca="1" t="shared" si="16"/>
        <v>DR</v>
      </c>
      <c r="F1061" s="51">
        <v>50</v>
      </c>
      <c r="G1061" s="51" t="s">
        <v>28</v>
      </c>
      <c r="H1061" s="51" t="s">
        <v>2408</v>
      </c>
    </row>
    <row r="1062" spans="1:8">
      <c r="A1062" s="57" t="s">
        <v>2409</v>
      </c>
      <c r="B1062" s="115" t="s">
        <v>2123</v>
      </c>
      <c r="C1062" s="70" t="s">
        <v>2410</v>
      </c>
      <c r="D1062" s="59" t="s">
        <v>27</v>
      </c>
      <c r="E1062" s="60" t="str">
        <f ca="1" t="shared" si="16"/>
        <v>CD</v>
      </c>
      <c r="F1062" s="51">
        <v>50</v>
      </c>
      <c r="G1062" s="51" t="s">
        <v>28</v>
      </c>
      <c r="H1062" s="51" t="e">
        <v>#N/A</v>
      </c>
    </row>
    <row r="1063" spans="1:8">
      <c r="A1063" s="57" t="s">
        <v>2411</v>
      </c>
      <c r="B1063" s="115" t="s">
        <v>2123</v>
      </c>
      <c r="C1063" s="70" t="s">
        <v>2412</v>
      </c>
      <c r="D1063" s="59" t="s">
        <v>27</v>
      </c>
      <c r="E1063" s="60" t="str">
        <f ca="1" t="shared" si="16"/>
        <v>CD</v>
      </c>
      <c r="F1063" s="51">
        <v>50</v>
      </c>
      <c r="G1063" s="51" t="s">
        <v>28</v>
      </c>
      <c r="H1063" s="51" t="e">
        <v>#N/A</v>
      </c>
    </row>
    <row r="1064" spans="1:8">
      <c r="A1064" s="57" t="s">
        <v>2413</v>
      </c>
      <c r="B1064" s="115" t="s">
        <v>2123</v>
      </c>
      <c r="C1064" s="70" t="s">
        <v>2414</v>
      </c>
      <c r="D1064" s="59" t="s">
        <v>27</v>
      </c>
      <c r="E1064" s="60" t="str">
        <f ca="1" t="shared" si="16"/>
        <v>CD</v>
      </c>
      <c r="F1064" s="51">
        <v>50</v>
      </c>
      <c r="G1064" s="51" t="s">
        <v>28</v>
      </c>
      <c r="H1064" s="51" t="e">
        <v>#N/A</v>
      </c>
    </row>
    <row r="1065" spans="1:8">
      <c r="A1065" s="57" t="s">
        <v>2415</v>
      </c>
      <c r="B1065" s="115" t="s">
        <v>2123</v>
      </c>
      <c r="C1065" s="70" t="s">
        <v>2416</v>
      </c>
      <c r="D1065" s="59" t="s">
        <v>27</v>
      </c>
      <c r="E1065" s="60" t="str">
        <f ca="1" t="shared" si="16"/>
        <v>CD</v>
      </c>
      <c r="F1065" s="51">
        <v>50</v>
      </c>
      <c r="G1065" s="51" t="s">
        <v>28</v>
      </c>
      <c r="H1065" s="51" t="e">
        <v>#N/A</v>
      </c>
    </row>
    <row r="1066" spans="1:8">
      <c r="A1066" s="57" t="s">
        <v>2417</v>
      </c>
      <c r="B1066" s="115" t="s">
        <v>2123</v>
      </c>
      <c r="C1066" s="70" t="s">
        <v>2418</v>
      </c>
      <c r="D1066" s="59" t="s">
        <v>27</v>
      </c>
      <c r="E1066" s="60" t="str">
        <f ca="1" t="shared" si="16"/>
        <v>CD</v>
      </c>
      <c r="F1066" s="51">
        <v>50</v>
      </c>
      <c r="G1066" s="51" t="s">
        <v>28</v>
      </c>
      <c r="H1066" s="51" t="e">
        <v>#N/A</v>
      </c>
    </row>
    <row r="1067" spans="1:8">
      <c r="A1067" s="57" t="s">
        <v>2419</v>
      </c>
      <c r="B1067" s="115" t="s">
        <v>2123</v>
      </c>
      <c r="C1067" s="70" t="s">
        <v>2420</v>
      </c>
      <c r="D1067" s="59" t="s">
        <v>27</v>
      </c>
      <c r="E1067" s="60" t="str">
        <f ca="1" t="shared" si="16"/>
        <v>CD</v>
      </c>
      <c r="F1067" s="51">
        <v>50</v>
      </c>
      <c r="G1067" s="51" t="s">
        <v>28</v>
      </c>
      <c r="H1067" s="51" t="e">
        <v>#N/A</v>
      </c>
    </row>
    <row r="1068" spans="1:8">
      <c r="A1068" s="57" t="s">
        <v>2421</v>
      </c>
      <c r="B1068" s="115" t="s">
        <v>2123</v>
      </c>
      <c r="C1068" s="70" t="s">
        <v>2422</v>
      </c>
      <c r="D1068" s="59" t="s">
        <v>27</v>
      </c>
      <c r="E1068" s="60" t="str">
        <f ca="1" t="shared" si="16"/>
        <v>CD</v>
      </c>
      <c r="F1068" s="51">
        <v>50</v>
      </c>
      <c r="G1068" s="51" t="s">
        <v>28</v>
      </c>
      <c r="H1068" s="51" t="e">
        <v>#N/A</v>
      </c>
    </row>
    <row r="1069" spans="1:8">
      <c r="A1069" s="57" t="s">
        <v>2423</v>
      </c>
      <c r="B1069" s="115" t="s">
        <v>2123</v>
      </c>
      <c r="C1069" s="70" t="s">
        <v>2424</v>
      </c>
      <c r="D1069" s="59" t="s">
        <v>27</v>
      </c>
      <c r="E1069" s="60" t="str">
        <f ca="1" t="shared" si="16"/>
        <v>CD</v>
      </c>
      <c r="F1069" s="51">
        <v>50</v>
      </c>
      <c r="G1069" s="51" t="s">
        <v>28</v>
      </c>
      <c r="H1069" s="51" t="e">
        <v>#N/A</v>
      </c>
    </row>
    <row r="1070" spans="1:8">
      <c r="A1070" s="57" t="s">
        <v>2425</v>
      </c>
      <c r="B1070" s="59"/>
      <c r="C1070" s="70" t="s">
        <v>2426</v>
      </c>
      <c r="D1070" s="59" t="s">
        <v>942</v>
      </c>
      <c r="E1070" s="60" t="str">
        <f ca="1" t="shared" si="16"/>
        <v>PV</v>
      </c>
      <c r="F1070" s="51">
        <v>50</v>
      </c>
      <c r="G1070" s="51" t="s">
        <v>28</v>
      </c>
      <c r="H1070" s="51" t="e">
        <v>#N/A</v>
      </c>
    </row>
    <row r="1071" spans="1:8">
      <c r="A1071" s="57" t="s">
        <v>2427</v>
      </c>
      <c r="B1071" s="59"/>
      <c r="C1071" s="70" t="s">
        <v>2428</v>
      </c>
      <c r="D1071" s="59" t="s">
        <v>942</v>
      </c>
      <c r="E1071" s="60" t="str">
        <f ca="1" t="shared" si="16"/>
        <v>PV</v>
      </c>
      <c r="F1071" s="51">
        <v>50</v>
      </c>
      <c r="G1071" s="51" t="s">
        <v>28</v>
      </c>
      <c r="H1071" s="51" t="e">
        <v>#N/A</v>
      </c>
    </row>
    <row r="1072" spans="1:8">
      <c r="A1072" s="57" t="s">
        <v>2429</v>
      </c>
      <c r="B1072" s="59"/>
      <c r="C1072" s="70" t="s">
        <v>2430</v>
      </c>
      <c r="D1072" s="59" t="s">
        <v>942</v>
      </c>
      <c r="E1072" s="60" t="str">
        <f ca="1" t="shared" si="16"/>
        <v>PV</v>
      </c>
      <c r="F1072" s="51">
        <v>50</v>
      </c>
      <c r="G1072" s="51" t="s">
        <v>28</v>
      </c>
      <c r="H1072" s="51" t="s">
        <v>942</v>
      </c>
    </row>
    <row r="1073" spans="1:8">
      <c r="A1073" s="57" t="s">
        <v>2431</v>
      </c>
      <c r="B1073" s="59"/>
      <c r="C1073" s="70" t="s">
        <v>2432</v>
      </c>
      <c r="D1073" s="59" t="s">
        <v>942</v>
      </c>
      <c r="E1073" s="60" t="str">
        <f ca="1" t="shared" si="16"/>
        <v>PV</v>
      </c>
      <c r="F1073" s="51">
        <v>50</v>
      </c>
      <c r="G1073" s="51" t="s">
        <v>28</v>
      </c>
      <c r="H1073" s="51">
        <v>0</v>
      </c>
    </row>
    <row r="1074" spans="1:8">
      <c r="A1074" s="57" t="s">
        <v>2433</v>
      </c>
      <c r="B1074" s="121" t="s">
        <v>2434</v>
      </c>
      <c r="C1074" s="70" t="s">
        <v>2435</v>
      </c>
      <c r="D1074" s="59" t="s">
        <v>942</v>
      </c>
      <c r="E1074" s="60" t="str">
        <f ca="1" t="shared" si="16"/>
        <v>PV</v>
      </c>
      <c r="F1074" s="51">
        <v>50</v>
      </c>
      <c r="G1074" s="51" t="s">
        <v>28</v>
      </c>
      <c r="H1074" s="51">
        <v>0</v>
      </c>
    </row>
    <row r="1075" spans="1:8">
      <c r="A1075" s="57" t="s">
        <v>2436</v>
      </c>
      <c r="B1075" s="121" t="s">
        <v>2437</v>
      </c>
      <c r="C1075" s="70" t="s">
        <v>2438</v>
      </c>
      <c r="D1075" s="59" t="s">
        <v>942</v>
      </c>
      <c r="E1075" s="60" t="str">
        <f ca="1" t="shared" si="16"/>
        <v>PV</v>
      </c>
      <c r="F1075" s="51">
        <v>50</v>
      </c>
      <c r="G1075" s="51" t="s">
        <v>28</v>
      </c>
      <c r="H1075" s="51">
        <v>0</v>
      </c>
    </row>
    <row r="1076" spans="1:8">
      <c r="A1076" s="57" t="s">
        <v>2439</v>
      </c>
      <c r="B1076" s="121" t="s">
        <v>2440</v>
      </c>
      <c r="C1076" s="70" t="s">
        <v>2441</v>
      </c>
      <c r="D1076" s="59" t="s">
        <v>942</v>
      </c>
      <c r="E1076" s="60" t="str">
        <f ca="1" t="shared" si="16"/>
        <v>PV</v>
      </c>
      <c r="F1076" s="51">
        <v>50</v>
      </c>
      <c r="G1076" s="51" t="s">
        <v>28</v>
      </c>
      <c r="H1076" s="51" t="e">
        <v>#N/A</v>
      </c>
    </row>
    <row r="1077" spans="1:8">
      <c r="A1077" s="57" t="s">
        <v>2442</v>
      </c>
      <c r="B1077" s="121" t="s">
        <v>2440</v>
      </c>
      <c r="C1077" s="70" t="s">
        <v>2443</v>
      </c>
      <c r="D1077" s="59" t="s">
        <v>942</v>
      </c>
      <c r="E1077" s="60" t="str">
        <f ca="1" t="shared" si="16"/>
        <v>PV</v>
      </c>
      <c r="F1077" s="51">
        <v>50</v>
      </c>
      <c r="G1077" s="51" t="s">
        <v>28</v>
      </c>
      <c r="H1077" s="51">
        <v>0</v>
      </c>
    </row>
    <row r="1078" spans="1:8">
      <c r="A1078" s="57" t="s">
        <v>2444</v>
      </c>
      <c r="B1078" s="121" t="s">
        <v>2440</v>
      </c>
      <c r="C1078" s="70" t="s">
        <v>2445</v>
      </c>
      <c r="D1078" s="59" t="s">
        <v>942</v>
      </c>
      <c r="E1078" s="60" t="str">
        <f ca="1" t="shared" si="16"/>
        <v>PV</v>
      </c>
      <c r="F1078" s="51">
        <v>50</v>
      </c>
      <c r="G1078" s="51" t="s">
        <v>28</v>
      </c>
      <c r="H1078" s="51">
        <v>0</v>
      </c>
    </row>
    <row r="1079" spans="1:8">
      <c r="A1079" s="57" t="s">
        <v>2446</v>
      </c>
      <c r="B1079" s="59"/>
      <c r="C1079" s="70" t="s">
        <v>2447</v>
      </c>
      <c r="D1079" s="59" t="s">
        <v>241</v>
      </c>
      <c r="E1079" s="60" t="str">
        <f ca="1" t="shared" si="16"/>
        <v>OD</v>
      </c>
      <c r="F1079" s="51">
        <v>50</v>
      </c>
      <c r="G1079" s="51" t="s">
        <v>28</v>
      </c>
      <c r="H1079" s="51" t="e">
        <v>#N/A</v>
      </c>
    </row>
    <row r="1080" spans="1:8">
      <c r="A1080" s="57" t="s">
        <v>2448</v>
      </c>
      <c r="B1080" s="121" t="s">
        <v>1710</v>
      </c>
      <c r="C1080" s="70" t="s">
        <v>2449</v>
      </c>
      <c r="D1080" s="59" t="s">
        <v>942</v>
      </c>
      <c r="E1080" s="60" t="str">
        <f ca="1" t="shared" si="16"/>
        <v>ON</v>
      </c>
      <c r="F1080" s="51">
        <v>50</v>
      </c>
      <c r="G1080" s="51" t="s">
        <v>28</v>
      </c>
      <c r="H1080" s="51" t="e">
        <v>#N/A</v>
      </c>
    </row>
    <row r="1081" spans="1:8">
      <c r="A1081" s="57" t="s">
        <v>2450</v>
      </c>
      <c r="B1081" s="121" t="s">
        <v>1710</v>
      </c>
      <c r="C1081" s="70" t="s">
        <v>2451</v>
      </c>
      <c r="D1081" s="59" t="s">
        <v>942</v>
      </c>
      <c r="E1081" s="60" t="str">
        <f ca="1" t="shared" si="16"/>
        <v>ON</v>
      </c>
      <c r="F1081" s="51">
        <v>50</v>
      </c>
      <c r="G1081" s="51" t="s">
        <v>28</v>
      </c>
      <c r="H1081" s="51" t="e">
        <v>#N/A</v>
      </c>
    </row>
    <row r="1082" spans="1:8">
      <c r="A1082" s="57" t="s">
        <v>2452</v>
      </c>
      <c r="B1082" s="121" t="s">
        <v>1710</v>
      </c>
      <c r="C1082" s="70" t="s">
        <v>2453</v>
      </c>
      <c r="D1082" s="59" t="s">
        <v>942</v>
      </c>
      <c r="E1082" s="60" t="str">
        <f ca="1" t="shared" si="16"/>
        <v>ON</v>
      </c>
      <c r="F1082" s="51">
        <v>50</v>
      </c>
      <c r="G1082" s="51" t="s">
        <v>28</v>
      </c>
      <c r="H1082" s="51" t="e">
        <v>#N/A</v>
      </c>
    </row>
    <row r="1083" spans="1:8">
      <c r="A1083" s="57" t="s">
        <v>2454</v>
      </c>
      <c r="B1083" s="58"/>
      <c r="C1083" s="70" t="s">
        <v>2455</v>
      </c>
      <c r="D1083" s="59" t="s">
        <v>27</v>
      </c>
      <c r="E1083" s="60" t="str">
        <f ca="1" t="shared" si="16"/>
        <v>CU</v>
      </c>
      <c r="F1083" s="51">
        <v>50</v>
      </c>
      <c r="G1083" s="51" t="s">
        <v>28</v>
      </c>
      <c r="H1083" s="51" t="e">
        <v>#N/A</v>
      </c>
    </row>
    <row r="1084" spans="1:8">
      <c r="A1084" s="57" t="s">
        <v>2456</v>
      </c>
      <c r="B1084" s="58"/>
      <c r="C1084" s="70" t="s">
        <v>2457</v>
      </c>
      <c r="D1084" s="59" t="s">
        <v>27</v>
      </c>
      <c r="E1084" s="60" t="str">
        <f ca="1" t="shared" si="16"/>
        <v>CU</v>
      </c>
      <c r="F1084" s="51">
        <v>50</v>
      </c>
      <c r="G1084" s="51" t="s">
        <v>28</v>
      </c>
      <c r="H1084" s="51" t="e">
        <v>#N/A</v>
      </c>
    </row>
    <row r="1085" spans="1:8">
      <c r="A1085" s="57" t="s">
        <v>2458</v>
      </c>
      <c r="B1085" s="58"/>
      <c r="C1085" s="70" t="s">
        <v>2459</v>
      </c>
      <c r="D1085" s="59" t="s">
        <v>27</v>
      </c>
      <c r="E1085" s="60" t="str">
        <f ca="1" t="shared" si="16"/>
        <v>CU</v>
      </c>
      <c r="F1085" s="51">
        <v>50</v>
      </c>
      <c r="G1085" s="51" t="s">
        <v>28</v>
      </c>
      <c r="H1085" s="51">
        <v>0</v>
      </c>
    </row>
    <row r="1086" spans="1:8">
      <c r="A1086" s="57" t="s">
        <v>2460</v>
      </c>
      <c r="B1086" s="58"/>
      <c r="C1086" s="70" t="s">
        <v>2461</v>
      </c>
      <c r="D1086" s="59" t="s">
        <v>27</v>
      </c>
      <c r="E1086" s="60" t="str">
        <f ca="1" t="shared" si="16"/>
        <v>CU</v>
      </c>
      <c r="F1086" s="51">
        <v>50</v>
      </c>
      <c r="G1086" s="51" t="s">
        <v>28</v>
      </c>
      <c r="H1086" s="51">
        <v>0</v>
      </c>
    </row>
    <row r="1087" spans="1:8">
      <c r="A1087" s="57" t="s">
        <v>2462</v>
      </c>
      <c r="B1087" s="58"/>
      <c r="C1087" s="70" t="s">
        <v>2463</v>
      </c>
      <c r="D1087" s="59" t="s">
        <v>27</v>
      </c>
      <c r="E1087" s="60" t="str">
        <f ca="1" t="shared" si="16"/>
        <v>CU</v>
      </c>
      <c r="F1087" s="51">
        <v>50</v>
      </c>
      <c r="G1087" s="51" t="s">
        <v>28</v>
      </c>
      <c r="H1087" s="51">
        <v>0</v>
      </c>
    </row>
    <row r="1088" spans="1:8">
      <c r="A1088" s="57" t="s">
        <v>2464</v>
      </c>
      <c r="B1088" s="58"/>
      <c r="C1088" s="70" t="s">
        <v>2465</v>
      </c>
      <c r="D1088" s="59" t="s">
        <v>27</v>
      </c>
      <c r="E1088" s="60" t="str">
        <f ca="1" t="shared" si="16"/>
        <v>CU</v>
      </c>
      <c r="F1088" s="51">
        <v>50</v>
      </c>
      <c r="G1088" s="51" t="s">
        <v>28</v>
      </c>
      <c r="H1088" s="51" t="e">
        <v>#N/A</v>
      </c>
    </row>
    <row r="1089" spans="1:8">
      <c r="A1089" s="57" t="s">
        <v>2466</v>
      </c>
      <c r="B1089" s="58"/>
      <c r="C1089" s="70" t="s">
        <v>2467</v>
      </c>
      <c r="D1089" s="59" t="s">
        <v>27</v>
      </c>
      <c r="E1089" s="60" t="str">
        <f ca="1" t="shared" si="16"/>
        <v>CU</v>
      </c>
      <c r="F1089" s="51">
        <v>50</v>
      </c>
      <c r="G1089" s="51" t="s">
        <v>28</v>
      </c>
      <c r="H1089" s="51" t="s">
        <v>27</v>
      </c>
    </row>
    <row r="1090" spans="1:8">
      <c r="A1090" s="57" t="s">
        <v>2468</v>
      </c>
      <c r="B1090" s="58"/>
      <c r="C1090" s="70" t="s">
        <v>2469</v>
      </c>
      <c r="D1090" s="59" t="s">
        <v>27</v>
      </c>
      <c r="E1090" s="60" t="str">
        <f ca="1" t="shared" si="16"/>
        <v>CU</v>
      </c>
      <c r="F1090" s="51">
        <v>50</v>
      </c>
      <c r="G1090" s="51" t="s">
        <v>28</v>
      </c>
      <c r="H1090" s="51" t="s">
        <v>27</v>
      </c>
    </row>
    <row r="1091" spans="1:8">
      <c r="A1091" s="57" t="s">
        <v>2470</v>
      </c>
      <c r="B1091" s="58"/>
      <c r="C1091" s="70" t="s">
        <v>2471</v>
      </c>
      <c r="D1091" s="59" t="s">
        <v>27</v>
      </c>
      <c r="E1091" s="60" t="str">
        <f ca="1" t="shared" ref="E1091:E1154" si="17">LEFT(A1091,2)</f>
        <v>CU</v>
      </c>
      <c r="F1091" s="51">
        <v>50</v>
      </c>
      <c r="G1091" s="51" t="s">
        <v>28</v>
      </c>
      <c r="H1091" s="51">
        <v>0</v>
      </c>
    </row>
    <row r="1092" spans="1:8">
      <c r="A1092" s="57" t="s">
        <v>2472</v>
      </c>
      <c r="B1092" s="58"/>
      <c r="C1092" s="70" t="s">
        <v>2473</v>
      </c>
      <c r="D1092" s="59" t="s">
        <v>27</v>
      </c>
      <c r="E1092" s="60" t="str">
        <f ca="1" t="shared" si="17"/>
        <v>CU</v>
      </c>
      <c r="F1092" s="51">
        <v>50</v>
      </c>
      <c r="G1092" s="51" t="s">
        <v>28</v>
      </c>
      <c r="H1092" s="51">
        <v>0</v>
      </c>
    </row>
    <row r="1093" spans="1:8">
      <c r="A1093" s="57" t="s">
        <v>2474</v>
      </c>
      <c r="B1093" s="58"/>
      <c r="C1093" s="70" t="s">
        <v>2475</v>
      </c>
      <c r="D1093" s="59" t="s">
        <v>27</v>
      </c>
      <c r="E1093" s="60" t="str">
        <f ca="1" t="shared" si="17"/>
        <v>CU</v>
      </c>
      <c r="F1093" s="51">
        <v>50</v>
      </c>
      <c r="G1093" s="51" t="s">
        <v>28</v>
      </c>
      <c r="H1093" s="51" t="s">
        <v>27</v>
      </c>
    </row>
    <row r="1094" spans="1:8">
      <c r="A1094" s="57" t="s">
        <v>2476</v>
      </c>
      <c r="B1094" s="58"/>
      <c r="C1094" s="70" t="s">
        <v>2477</v>
      </c>
      <c r="D1094" s="59" t="s">
        <v>27</v>
      </c>
      <c r="E1094" s="60" t="str">
        <f ca="1" t="shared" si="17"/>
        <v>CU</v>
      </c>
      <c r="F1094" s="51">
        <v>50</v>
      </c>
      <c r="G1094" s="51" t="s">
        <v>28</v>
      </c>
      <c r="H1094" s="51" t="e">
        <v>#N/A</v>
      </c>
    </row>
    <row r="1095" spans="1:8">
      <c r="A1095" s="57" t="s">
        <v>2478</v>
      </c>
      <c r="B1095" s="58"/>
      <c r="C1095" s="70" t="s">
        <v>2479</v>
      </c>
      <c r="D1095" s="59" t="s">
        <v>27</v>
      </c>
      <c r="E1095" s="60" t="str">
        <f ca="1" t="shared" si="17"/>
        <v>CU</v>
      </c>
      <c r="F1095" s="51">
        <v>50</v>
      </c>
      <c r="G1095" s="51" t="s">
        <v>28</v>
      </c>
      <c r="H1095" s="51" t="s">
        <v>27</v>
      </c>
    </row>
    <row r="1096" spans="1:8">
      <c r="A1096" s="57" t="s">
        <v>2480</v>
      </c>
      <c r="B1096" s="58"/>
      <c r="C1096" s="70" t="s">
        <v>2481</v>
      </c>
      <c r="D1096" s="59" t="s">
        <v>27</v>
      </c>
      <c r="E1096" s="60" t="str">
        <f ca="1" t="shared" si="17"/>
        <v>CU</v>
      </c>
      <c r="F1096" s="51">
        <v>50</v>
      </c>
      <c r="G1096" s="51" t="s">
        <v>28</v>
      </c>
      <c r="H1096" s="51" t="e">
        <v>#N/A</v>
      </c>
    </row>
    <row r="1097" spans="1:8">
      <c r="A1097" s="57" t="s">
        <v>2482</v>
      </c>
      <c r="B1097" s="59"/>
      <c r="C1097" s="70" t="s">
        <v>2483</v>
      </c>
      <c r="D1097" s="59" t="s">
        <v>27</v>
      </c>
      <c r="E1097" s="60" t="str">
        <f ca="1" t="shared" si="17"/>
        <v>NP</v>
      </c>
      <c r="F1097" s="51">
        <v>50</v>
      </c>
      <c r="G1097" s="51" t="s">
        <v>28</v>
      </c>
      <c r="H1097" s="51" t="s">
        <v>27</v>
      </c>
    </row>
    <row r="1098" spans="1:8">
      <c r="A1098" s="57" t="s">
        <v>2484</v>
      </c>
      <c r="B1098" s="59"/>
      <c r="C1098" s="70" t="s">
        <v>2485</v>
      </c>
      <c r="D1098" s="59" t="s">
        <v>27</v>
      </c>
      <c r="E1098" s="60" t="str">
        <f ca="1" t="shared" si="17"/>
        <v>NP</v>
      </c>
      <c r="F1098" s="51">
        <v>50</v>
      </c>
      <c r="G1098" s="51" t="s">
        <v>28</v>
      </c>
      <c r="H1098" s="51" t="e">
        <v>#N/A</v>
      </c>
    </row>
    <row r="1099" spans="1:8">
      <c r="A1099" s="57" t="s">
        <v>2486</v>
      </c>
      <c r="B1099" s="59"/>
      <c r="C1099" s="70" t="s">
        <v>2487</v>
      </c>
      <c r="D1099" s="59" t="s">
        <v>27</v>
      </c>
      <c r="E1099" s="60" t="str">
        <f ca="1" t="shared" si="17"/>
        <v>NP</v>
      </c>
      <c r="F1099" s="51">
        <v>50</v>
      </c>
      <c r="G1099" s="51" t="s">
        <v>28</v>
      </c>
      <c r="H1099" s="51" t="s">
        <v>27</v>
      </c>
    </row>
    <row r="1100" spans="1:8">
      <c r="A1100" s="57" t="s">
        <v>2488</v>
      </c>
      <c r="B1100" s="59"/>
      <c r="C1100" s="70" t="s">
        <v>2489</v>
      </c>
      <c r="D1100" s="59" t="s">
        <v>27</v>
      </c>
      <c r="E1100" s="60" t="str">
        <f ca="1" t="shared" si="17"/>
        <v>NP</v>
      </c>
      <c r="F1100" s="51">
        <v>50</v>
      </c>
      <c r="G1100" s="51" t="s">
        <v>28</v>
      </c>
      <c r="H1100" s="51" t="s">
        <v>27</v>
      </c>
    </row>
    <row r="1101" spans="1:8">
      <c r="A1101" s="57" t="s">
        <v>2490</v>
      </c>
      <c r="B1101" s="59"/>
      <c r="C1101" s="70" t="s">
        <v>2491</v>
      </c>
      <c r="D1101" s="59" t="s">
        <v>27</v>
      </c>
      <c r="E1101" s="60" t="str">
        <f ca="1" t="shared" si="17"/>
        <v>NP</v>
      </c>
      <c r="F1101" s="51">
        <v>50</v>
      </c>
      <c r="G1101" s="51" t="s">
        <v>28</v>
      </c>
      <c r="H1101" s="51">
        <v>0</v>
      </c>
    </row>
    <row r="1102" spans="1:8">
      <c r="A1102" s="57" t="s">
        <v>2492</v>
      </c>
      <c r="B1102" s="59"/>
      <c r="C1102" s="70" t="s">
        <v>2493</v>
      </c>
      <c r="D1102" s="59" t="s">
        <v>27</v>
      </c>
      <c r="E1102" s="60" t="str">
        <f ca="1" t="shared" si="17"/>
        <v>NP</v>
      </c>
      <c r="F1102" s="51">
        <v>50</v>
      </c>
      <c r="G1102" s="51" t="s">
        <v>28</v>
      </c>
      <c r="H1102" s="51" t="e">
        <v>#N/A</v>
      </c>
    </row>
    <row r="1103" spans="1:8">
      <c r="A1103" s="57" t="s">
        <v>2494</v>
      </c>
      <c r="B1103" s="59"/>
      <c r="C1103" s="70" t="s">
        <v>2495</v>
      </c>
      <c r="D1103" s="59" t="s">
        <v>27</v>
      </c>
      <c r="E1103" s="60" t="str">
        <f ca="1" t="shared" si="17"/>
        <v>NT</v>
      </c>
      <c r="F1103" s="51">
        <v>50</v>
      </c>
      <c r="G1103" s="51" t="s">
        <v>28</v>
      </c>
      <c r="H1103" s="51" t="e">
        <v>#N/A</v>
      </c>
    </row>
    <row r="1104" spans="1:8">
      <c r="A1104" s="57" t="s">
        <v>2496</v>
      </c>
      <c r="B1104" s="58"/>
      <c r="C1104" s="64" t="s">
        <v>2497</v>
      </c>
      <c r="D1104" s="59" t="s">
        <v>27</v>
      </c>
      <c r="E1104" s="60" t="str">
        <f ca="1" t="shared" si="17"/>
        <v>BA</v>
      </c>
      <c r="F1104" s="51">
        <v>50</v>
      </c>
      <c r="G1104" s="51" t="s">
        <v>28</v>
      </c>
      <c r="H1104" s="51">
        <v>0</v>
      </c>
    </row>
    <row r="1105" spans="1:8">
      <c r="A1105" s="57" t="s">
        <v>2498</v>
      </c>
      <c r="B1105" s="59"/>
      <c r="C1105" s="70" t="s">
        <v>2499</v>
      </c>
      <c r="D1105" s="59" t="s">
        <v>27</v>
      </c>
      <c r="E1105" s="60" t="str">
        <f ca="1" t="shared" si="17"/>
        <v>BA</v>
      </c>
      <c r="F1105" s="51">
        <v>50</v>
      </c>
      <c r="G1105" s="51" t="s">
        <v>28</v>
      </c>
      <c r="H1105" s="51" t="s">
        <v>27</v>
      </c>
    </row>
    <row r="1106" spans="1:8">
      <c r="A1106" s="57" t="s">
        <v>2500</v>
      </c>
      <c r="B1106" s="59"/>
      <c r="C1106" s="70" t="s">
        <v>2501</v>
      </c>
      <c r="D1106" s="59" t="s">
        <v>27</v>
      </c>
      <c r="E1106" s="60" t="str">
        <f ca="1" t="shared" si="17"/>
        <v>BA</v>
      </c>
      <c r="F1106" s="51">
        <v>50</v>
      </c>
      <c r="G1106" s="51" t="s">
        <v>28</v>
      </c>
      <c r="H1106" s="51" t="e">
        <v>#N/A</v>
      </c>
    </row>
    <row r="1107" spans="1:8">
      <c r="A1107" s="57" t="s">
        <v>2502</v>
      </c>
      <c r="B1107" s="59"/>
      <c r="C1107" s="70" t="s">
        <v>2503</v>
      </c>
      <c r="D1107" s="59" t="s">
        <v>27</v>
      </c>
      <c r="E1107" s="60" t="str">
        <f ca="1" t="shared" si="17"/>
        <v>BA</v>
      </c>
      <c r="F1107" s="51">
        <v>50</v>
      </c>
      <c r="G1107" s="51" t="s">
        <v>28</v>
      </c>
      <c r="H1107" s="51" t="e">
        <v>#N/A</v>
      </c>
    </row>
    <row r="1108" spans="1:8">
      <c r="A1108" s="57" t="s">
        <v>2504</v>
      </c>
      <c r="B1108" s="59"/>
      <c r="C1108" s="70" t="s">
        <v>2505</v>
      </c>
      <c r="D1108" s="59" t="s">
        <v>27</v>
      </c>
      <c r="E1108" s="60" t="str">
        <f ca="1" t="shared" si="17"/>
        <v>BA</v>
      </c>
      <c r="F1108" s="51">
        <v>50</v>
      </c>
      <c r="G1108" s="51" t="s">
        <v>28</v>
      </c>
      <c r="H1108" s="51" t="e">
        <v>#N/A</v>
      </c>
    </row>
    <row r="1109" spans="1:8">
      <c r="A1109" s="57" t="s">
        <v>2506</v>
      </c>
      <c r="B1109" s="59"/>
      <c r="C1109" s="70" t="s">
        <v>2507</v>
      </c>
      <c r="D1109" s="59" t="s">
        <v>27</v>
      </c>
      <c r="E1109" s="60" t="str">
        <f ca="1" t="shared" si="17"/>
        <v>BA</v>
      </c>
      <c r="F1109" s="51">
        <v>50</v>
      </c>
      <c r="G1109" s="51" t="s">
        <v>28</v>
      </c>
      <c r="H1109" s="51">
        <v>0</v>
      </c>
    </row>
    <row r="1110" spans="1:8">
      <c r="A1110" s="57" t="s">
        <v>2508</v>
      </c>
      <c r="B1110" s="59"/>
      <c r="C1110" s="70" t="s">
        <v>2509</v>
      </c>
      <c r="D1110" s="59" t="s">
        <v>2510</v>
      </c>
      <c r="E1110" s="60" t="str">
        <f ca="1" t="shared" si="17"/>
        <v>BA</v>
      </c>
      <c r="F1110" s="51">
        <v>50</v>
      </c>
      <c r="G1110" s="51" t="s">
        <v>28</v>
      </c>
      <c r="H1110" s="51">
        <v>0</v>
      </c>
    </row>
    <row r="1111" spans="1:8">
      <c r="A1111" s="57" t="s">
        <v>2511</v>
      </c>
      <c r="B1111" s="59"/>
      <c r="C1111" s="70" t="s">
        <v>2512</v>
      </c>
      <c r="D1111" s="59" t="s">
        <v>27</v>
      </c>
      <c r="E1111" s="60" t="str">
        <f ca="1" t="shared" si="17"/>
        <v>BA</v>
      </c>
      <c r="F1111" s="51">
        <v>50</v>
      </c>
      <c r="G1111" s="51" t="s">
        <v>28</v>
      </c>
      <c r="H1111" s="51" t="s">
        <v>27</v>
      </c>
    </row>
    <row r="1112" spans="1:8">
      <c r="A1112" s="57" t="s">
        <v>2513</v>
      </c>
      <c r="B1112" s="91"/>
      <c r="C1112" s="70" t="s">
        <v>2514</v>
      </c>
      <c r="D1112" s="59" t="s">
        <v>2515</v>
      </c>
      <c r="E1112" s="60" t="str">
        <f ca="1" t="shared" si="17"/>
        <v>KE</v>
      </c>
      <c r="F1112" s="51">
        <v>50</v>
      </c>
      <c r="G1112" s="51" t="s">
        <v>28</v>
      </c>
      <c r="H1112" s="51">
        <v>0</v>
      </c>
    </row>
    <row r="1113" spans="1:8">
      <c r="A1113" s="57" t="s">
        <v>2516</v>
      </c>
      <c r="B1113" s="58"/>
      <c r="C1113" s="57" t="s">
        <v>2517</v>
      </c>
      <c r="D1113" s="59" t="s">
        <v>227</v>
      </c>
      <c r="E1113" s="60" t="str">
        <f ca="1" t="shared" si="17"/>
        <v>KE</v>
      </c>
      <c r="F1113" s="51">
        <v>50</v>
      </c>
      <c r="G1113" s="51" t="s">
        <v>28</v>
      </c>
      <c r="H1113" s="51">
        <v>0</v>
      </c>
    </row>
    <row r="1114" spans="1:8">
      <c r="A1114" s="57" t="s">
        <v>2518</v>
      </c>
      <c r="B1114" s="58"/>
      <c r="C1114" s="70" t="s">
        <v>2519</v>
      </c>
      <c r="D1114" s="59" t="s">
        <v>2520</v>
      </c>
      <c r="E1114" s="60" t="str">
        <f ca="1" t="shared" si="17"/>
        <v>ke</v>
      </c>
      <c r="F1114" s="51">
        <v>50</v>
      </c>
      <c r="G1114" s="51" t="s">
        <v>28</v>
      </c>
      <c r="H1114" s="51">
        <v>0</v>
      </c>
    </row>
    <row r="1115" spans="1:8">
      <c r="A1115" s="57" t="s">
        <v>2521</v>
      </c>
      <c r="B1115" s="58"/>
      <c r="C1115" s="70" t="s">
        <v>2522</v>
      </c>
      <c r="D1115" s="59" t="s">
        <v>2523</v>
      </c>
      <c r="E1115" s="60" t="str">
        <f ca="1" t="shared" si="17"/>
        <v>KE</v>
      </c>
      <c r="F1115" s="51">
        <v>50</v>
      </c>
      <c r="G1115" s="51" t="s">
        <v>28</v>
      </c>
      <c r="H1115" s="51">
        <v>0</v>
      </c>
    </row>
    <row r="1116" spans="1:8">
      <c r="A1116" s="57" t="s">
        <v>2524</v>
      </c>
      <c r="B1116" s="91"/>
      <c r="C1116" s="70" t="s">
        <v>2525</v>
      </c>
      <c r="D1116" s="59" t="s">
        <v>27</v>
      </c>
      <c r="E1116" s="60" t="str">
        <f ca="1" t="shared" si="17"/>
        <v>KV</v>
      </c>
      <c r="F1116" s="51">
        <v>50</v>
      </c>
      <c r="G1116" s="51" t="s">
        <v>28</v>
      </c>
      <c r="H1116" s="51">
        <v>0</v>
      </c>
    </row>
    <row r="1117" spans="1:8">
      <c r="A1117" s="57" t="s">
        <v>2526</v>
      </c>
      <c r="B1117" s="91"/>
      <c r="C1117" s="70" t="s">
        <v>2527</v>
      </c>
      <c r="D1117" s="59" t="s">
        <v>27</v>
      </c>
      <c r="E1117" s="60" t="str">
        <f ca="1" t="shared" si="17"/>
        <v>KV</v>
      </c>
      <c r="F1117" s="51">
        <v>50</v>
      </c>
      <c r="G1117" s="51" t="s">
        <v>28</v>
      </c>
      <c r="H1117" s="51" t="s">
        <v>27</v>
      </c>
    </row>
    <row r="1118" spans="1:8">
      <c r="A1118" s="57" t="s">
        <v>2528</v>
      </c>
      <c r="B1118" s="91"/>
      <c r="C1118" s="70" t="s">
        <v>2529</v>
      </c>
      <c r="D1118" s="59" t="s">
        <v>27</v>
      </c>
      <c r="E1118" s="60" t="str">
        <f ca="1" t="shared" si="17"/>
        <v>KV</v>
      </c>
      <c r="F1118" s="51">
        <v>50</v>
      </c>
      <c r="G1118" s="51" t="s">
        <v>28</v>
      </c>
      <c r="H1118" s="51" t="s">
        <v>27</v>
      </c>
    </row>
    <row r="1119" spans="1:8">
      <c r="A1119" s="57" t="s">
        <v>2530</v>
      </c>
      <c r="B1119" s="91"/>
      <c r="C1119" s="70" t="s">
        <v>2531</v>
      </c>
      <c r="D1119" s="59" t="s">
        <v>27</v>
      </c>
      <c r="E1119" s="60" t="str">
        <f ca="1" t="shared" si="17"/>
        <v>KV</v>
      </c>
      <c r="F1119" s="51">
        <v>50</v>
      </c>
      <c r="G1119" s="51" t="s">
        <v>28</v>
      </c>
      <c r="H1119" s="51" t="s">
        <v>27</v>
      </c>
    </row>
    <row r="1120" spans="1:8">
      <c r="A1120" s="57" t="s">
        <v>2532</v>
      </c>
      <c r="B1120" s="91"/>
      <c r="C1120" s="70" t="s">
        <v>2533</v>
      </c>
      <c r="D1120" s="59" t="s">
        <v>27</v>
      </c>
      <c r="E1120" s="60" t="str">
        <f ca="1" t="shared" si="17"/>
        <v>KV</v>
      </c>
      <c r="F1120" s="51">
        <v>50</v>
      </c>
      <c r="G1120" s="51" t="s">
        <v>28</v>
      </c>
      <c r="H1120" s="51">
        <v>0</v>
      </c>
    </row>
    <row r="1121" spans="1:8">
      <c r="A1121" s="57" t="s">
        <v>2534</v>
      </c>
      <c r="B1121" s="91"/>
      <c r="C1121" s="70" t="s">
        <v>2535</v>
      </c>
      <c r="D1121" s="59" t="s">
        <v>27</v>
      </c>
      <c r="E1121" s="60" t="str">
        <f ca="1" t="shared" si="17"/>
        <v>KV</v>
      </c>
      <c r="F1121" s="51">
        <v>50</v>
      </c>
      <c r="G1121" s="51" t="s">
        <v>28</v>
      </c>
      <c r="H1121" s="51" t="s">
        <v>27</v>
      </c>
    </row>
    <row r="1122" spans="1:8">
      <c r="A1122" s="57" t="s">
        <v>2536</v>
      </c>
      <c r="B1122" s="91"/>
      <c r="C1122" s="70" t="s">
        <v>2537</v>
      </c>
      <c r="D1122" s="59" t="s">
        <v>27</v>
      </c>
      <c r="E1122" s="60" t="str">
        <f ca="1" t="shared" si="17"/>
        <v>KV</v>
      </c>
      <c r="F1122" s="51">
        <v>50</v>
      </c>
      <c r="G1122" s="51" t="s">
        <v>28</v>
      </c>
      <c r="H1122" s="51" t="s">
        <v>27</v>
      </c>
    </row>
    <row r="1123" spans="1:8">
      <c r="A1123" s="57" t="s">
        <v>2538</v>
      </c>
      <c r="B1123" s="91"/>
      <c r="C1123" s="70" t="s">
        <v>2539</v>
      </c>
      <c r="D1123" s="59" t="s">
        <v>27</v>
      </c>
      <c r="E1123" s="60" t="str">
        <f ca="1" t="shared" si="17"/>
        <v>KV</v>
      </c>
      <c r="F1123" s="51">
        <v>50</v>
      </c>
      <c r="G1123" s="51" t="s">
        <v>28</v>
      </c>
      <c r="H1123" s="51" t="s">
        <v>27</v>
      </c>
    </row>
    <row r="1124" s="51" customFormat="1" spans="1:8">
      <c r="A1124" s="57" t="s">
        <v>2540</v>
      </c>
      <c r="B1124" s="92" t="s">
        <v>1152</v>
      </c>
      <c r="C1124" s="70" t="s">
        <v>2541</v>
      </c>
      <c r="D1124" s="59" t="s">
        <v>27</v>
      </c>
      <c r="E1124" s="60" t="str">
        <f ca="1" t="shared" si="17"/>
        <v>OX</v>
      </c>
      <c r="F1124" s="51">
        <v>50</v>
      </c>
      <c r="G1124" s="51" t="s">
        <v>28</v>
      </c>
      <c r="H1124" s="51" t="e">
        <v>#N/A</v>
      </c>
    </row>
    <row r="1125" s="51" customFormat="1" spans="1:8">
      <c r="A1125" s="57" t="s">
        <v>2542</v>
      </c>
      <c r="B1125" s="92" t="s">
        <v>1152</v>
      </c>
      <c r="C1125" s="70" t="s">
        <v>2543</v>
      </c>
      <c r="D1125" s="59" t="s">
        <v>27</v>
      </c>
      <c r="E1125" s="60" t="str">
        <f ca="1" t="shared" si="17"/>
        <v>OX</v>
      </c>
      <c r="F1125" s="51">
        <v>50</v>
      </c>
      <c r="G1125" s="51" t="s">
        <v>28</v>
      </c>
      <c r="H1125" s="51" t="e">
        <v>#N/A</v>
      </c>
    </row>
    <row r="1126" s="51" customFormat="1" spans="1:8">
      <c r="A1126" s="57" t="s">
        <v>2544</v>
      </c>
      <c r="B1126" s="92" t="s">
        <v>1152</v>
      </c>
      <c r="C1126" s="70" t="s">
        <v>2545</v>
      </c>
      <c r="D1126" s="59" t="s">
        <v>27</v>
      </c>
      <c r="E1126" s="60" t="str">
        <f ca="1" t="shared" si="17"/>
        <v>OX</v>
      </c>
      <c r="F1126" s="51">
        <v>50</v>
      </c>
      <c r="G1126" s="51" t="s">
        <v>28</v>
      </c>
      <c r="H1126" s="51" t="e">
        <v>#N/A</v>
      </c>
    </row>
    <row r="1127" s="51" customFormat="1" spans="1:8">
      <c r="A1127" s="57" t="s">
        <v>2546</v>
      </c>
      <c r="B1127" s="92" t="s">
        <v>1152</v>
      </c>
      <c r="C1127" s="70" t="s">
        <v>2547</v>
      </c>
      <c r="D1127" s="59" t="s">
        <v>27</v>
      </c>
      <c r="E1127" s="60" t="str">
        <f ca="1" t="shared" si="17"/>
        <v>OX</v>
      </c>
      <c r="F1127" s="51">
        <v>50</v>
      </c>
      <c r="G1127" s="51" t="s">
        <v>28</v>
      </c>
      <c r="H1127" s="51" t="e">
        <v>#N/A</v>
      </c>
    </row>
    <row r="1128" s="51" customFormat="1" spans="1:8">
      <c r="A1128" s="57" t="s">
        <v>2548</v>
      </c>
      <c r="B1128" s="92" t="s">
        <v>1152</v>
      </c>
      <c r="C1128" s="70" t="s">
        <v>2549</v>
      </c>
      <c r="D1128" s="59" t="s">
        <v>27</v>
      </c>
      <c r="E1128" s="60" t="str">
        <f ca="1" t="shared" si="17"/>
        <v>OX</v>
      </c>
      <c r="F1128" s="51">
        <v>50</v>
      </c>
      <c r="G1128" s="51" t="s">
        <v>28</v>
      </c>
      <c r="H1128" s="51" t="e">
        <v>#N/A</v>
      </c>
    </row>
    <row r="1129" s="51" customFormat="1" spans="1:8">
      <c r="A1129" s="57" t="s">
        <v>2550</v>
      </c>
      <c r="B1129" s="92" t="s">
        <v>1152</v>
      </c>
      <c r="C1129" s="70" t="s">
        <v>2551</v>
      </c>
      <c r="D1129" s="59" t="s">
        <v>27</v>
      </c>
      <c r="E1129" s="60" t="str">
        <f ca="1" t="shared" si="17"/>
        <v>OX</v>
      </c>
      <c r="F1129" s="51">
        <v>50</v>
      </c>
      <c r="G1129" s="51" t="s">
        <v>28</v>
      </c>
      <c r="H1129" s="51" t="e">
        <v>#N/A</v>
      </c>
    </row>
    <row r="1130" s="51" customFormat="1" spans="1:8">
      <c r="A1130" s="57" t="s">
        <v>2552</v>
      </c>
      <c r="B1130" s="121" t="s">
        <v>1152</v>
      </c>
      <c r="C1130" s="57" t="s">
        <v>2553</v>
      </c>
      <c r="D1130" s="59" t="s">
        <v>27</v>
      </c>
      <c r="E1130" s="60" t="str">
        <f ca="1" t="shared" si="17"/>
        <v>OX</v>
      </c>
      <c r="F1130" s="51">
        <v>50</v>
      </c>
      <c r="G1130" s="51" t="s">
        <v>28</v>
      </c>
      <c r="H1130" s="51">
        <v>0</v>
      </c>
    </row>
    <row r="1131" s="51" customFormat="1" spans="1:8">
      <c r="A1131" s="57" t="s">
        <v>2554</v>
      </c>
      <c r="B1131" s="92" t="s">
        <v>1152</v>
      </c>
      <c r="C1131" s="70" t="s">
        <v>2555</v>
      </c>
      <c r="D1131" s="59" t="s">
        <v>27</v>
      </c>
      <c r="E1131" s="60" t="str">
        <f ca="1" t="shared" si="17"/>
        <v>OX</v>
      </c>
      <c r="F1131" s="51">
        <v>50</v>
      </c>
      <c r="G1131" s="51" t="s">
        <v>28</v>
      </c>
      <c r="H1131" s="51" t="e">
        <v>#N/A</v>
      </c>
    </row>
    <row r="1132" s="51" customFormat="1" spans="1:8">
      <c r="A1132" s="57" t="s">
        <v>2556</v>
      </c>
      <c r="B1132" s="92" t="s">
        <v>1152</v>
      </c>
      <c r="C1132" s="70" t="s">
        <v>2557</v>
      </c>
      <c r="D1132" s="59" t="s">
        <v>27</v>
      </c>
      <c r="E1132" s="60" t="str">
        <f ca="1" t="shared" si="17"/>
        <v>OX</v>
      </c>
      <c r="F1132" s="51">
        <v>50</v>
      </c>
      <c r="G1132" s="51" t="s">
        <v>28</v>
      </c>
      <c r="H1132" s="51">
        <v>0</v>
      </c>
    </row>
    <row r="1133" s="51" customFormat="1" spans="1:8">
      <c r="A1133" s="57" t="s">
        <v>2558</v>
      </c>
      <c r="B1133" s="92" t="s">
        <v>1152</v>
      </c>
      <c r="C1133" s="70" t="s">
        <v>2559</v>
      </c>
      <c r="D1133" s="59" t="s">
        <v>27</v>
      </c>
      <c r="E1133" s="60" t="str">
        <f ca="1" t="shared" si="17"/>
        <v>OX</v>
      </c>
      <c r="F1133" s="51">
        <v>50</v>
      </c>
      <c r="G1133" s="51" t="s">
        <v>28</v>
      </c>
      <c r="H1133" s="51" t="e">
        <v>#N/A</v>
      </c>
    </row>
    <row r="1134" s="51" customFormat="1" spans="1:8">
      <c r="A1134" s="57" t="s">
        <v>2560</v>
      </c>
      <c r="B1134" s="92" t="s">
        <v>1152</v>
      </c>
      <c r="C1134" s="70" t="s">
        <v>2561</v>
      </c>
      <c r="D1134" s="59" t="s">
        <v>27</v>
      </c>
      <c r="E1134" s="60" t="str">
        <f ca="1" t="shared" si="17"/>
        <v>OX</v>
      </c>
      <c r="F1134" s="51">
        <v>50</v>
      </c>
      <c r="G1134" s="51" t="s">
        <v>28</v>
      </c>
      <c r="H1134" s="51" t="e">
        <v>#N/A</v>
      </c>
    </row>
    <row r="1135" s="51" customFormat="1" spans="1:8">
      <c r="A1135" s="57" t="s">
        <v>2562</v>
      </c>
      <c r="B1135" s="92" t="s">
        <v>1152</v>
      </c>
      <c r="C1135" s="70" t="s">
        <v>2563</v>
      </c>
      <c r="D1135" s="59" t="s">
        <v>27</v>
      </c>
      <c r="E1135" s="60" t="str">
        <f ca="1" t="shared" si="17"/>
        <v>OX</v>
      </c>
      <c r="F1135" s="51">
        <v>50</v>
      </c>
      <c r="G1135" s="51" t="s">
        <v>28</v>
      </c>
      <c r="H1135" s="51" t="e">
        <v>#N/A</v>
      </c>
    </row>
    <row r="1136" s="51" customFormat="1" spans="1:8">
      <c r="A1136" s="57" t="s">
        <v>2564</v>
      </c>
      <c r="B1136" s="121" t="s">
        <v>1152</v>
      </c>
      <c r="C1136" s="57" t="s">
        <v>2565</v>
      </c>
      <c r="D1136" s="59" t="s">
        <v>27</v>
      </c>
      <c r="E1136" s="60" t="str">
        <f ca="1" t="shared" si="17"/>
        <v>OX</v>
      </c>
      <c r="F1136" s="51">
        <v>50</v>
      </c>
      <c r="G1136" s="51" t="s">
        <v>28</v>
      </c>
      <c r="H1136" s="51" t="e">
        <v>#N/A</v>
      </c>
    </row>
    <row r="1137" s="51" customFormat="1" spans="1:8">
      <c r="A1137" s="57" t="s">
        <v>2566</v>
      </c>
      <c r="B1137" s="121" t="s">
        <v>1152</v>
      </c>
      <c r="C1137" s="57" t="s">
        <v>2567</v>
      </c>
      <c r="D1137" s="59" t="s">
        <v>27</v>
      </c>
      <c r="E1137" s="60" t="str">
        <f ca="1" t="shared" si="17"/>
        <v>OX</v>
      </c>
      <c r="F1137" s="51">
        <v>50</v>
      </c>
      <c r="G1137" s="51" t="s">
        <v>28</v>
      </c>
      <c r="H1137" s="51" t="e">
        <v>#N/A</v>
      </c>
    </row>
    <row r="1138" s="51" customFormat="1" spans="1:8">
      <c r="A1138" s="57" t="s">
        <v>2568</v>
      </c>
      <c r="B1138" s="121" t="s">
        <v>1152</v>
      </c>
      <c r="C1138" s="57" t="s">
        <v>2569</v>
      </c>
      <c r="D1138" s="59" t="s">
        <v>27</v>
      </c>
      <c r="E1138" s="60" t="str">
        <f ca="1" t="shared" si="17"/>
        <v>OX</v>
      </c>
      <c r="F1138" s="51">
        <v>50</v>
      </c>
      <c r="G1138" s="51" t="s">
        <v>28</v>
      </c>
      <c r="H1138" s="51" t="e">
        <v>#N/A</v>
      </c>
    </row>
    <row r="1139" spans="1:8">
      <c r="A1139" s="57" t="s">
        <v>2570</v>
      </c>
      <c r="B1139" s="58"/>
      <c r="C1139" s="70" t="s">
        <v>2571</v>
      </c>
      <c r="D1139" s="59" t="s">
        <v>27</v>
      </c>
      <c r="E1139" s="60" t="str">
        <f ca="1" t="shared" si="17"/>
        <v>KH</v>
      </c>
      <c r="F1139" s="51">
        <v>50</v>
      </c>
      <c r="G1139" s="51" t="s">
        <v>28</v>
      </c>
      <c r="H1139" s="51" t="e">
        <v>#N/A</v>
      </c>
    </row>
    <row r="1140" spans="1:8">
      <c r="A1140" s="57" t="s">
        <v>2572</v>
      </c>
      <c r="B1140" s="59"/>
      <c r="C1140" s="69" t="s">
        <v>2573</v>
      </c>
      <c r="D1140" s="59" t="s">
        <v>600</v>
      </c>
      <c r="E1140" s="60" t="str">
        <f ca="1" t="shared" si="17"/>
        <v>ox</v>
      </c>
      <c r="F1140" s="51">
        <v>50</v>
      </c>
      <c r="G1140" s="51" t="s">
        <v>28</v>
      </c>
      <c r="H1140" s="51">
        <v>0.9</v>
      </c>
    </row>
    <row r="1141" s="51" customFormat="1" spans="1:8">
      <c r="A1141" s="57" t="s">
        <v>2574</v>
      </c>
      <c r="B1141" s="59" t="s">
        <v>2575</v>
      </c>
      <c r="C1141" s="64" t="s">
        <v>2576</v>
      </c>
      <c r="D1141" s="59" t="s">
        <v>2577</v>
      </c>
      <c r="E1141" s="60" t="str">
        <f ca="1" t="shared" si="17"/>
        <v>LC</v>
      </c>
      <c r="F1141" s="51">
        <v>50</v>
      </c>
      <c r="H1141" s="51">
        <v>0.19</v>
      </c>
    </row>
    <row r="1142" s="51" customFormat="1" spans="1:8">
      <c r="A1142" s="57" t="s">
        <v>2578</v>
      </c>
      <c r="B1142" s="59" t="s">
        <v>2579</v>
      </c>
      <c r="C1142" s="64" t="s">
        <v>2580</v>
      </c>
      <c r="D1142" s="59" t="s">
        <v>2577</v>
      </c>
      <c r="E1142" s="60" t="str">
        <f ca="1" t="shared" si="17"/>
        <v>LB</v>
      </c>
      <c r="F1142" s="51">
        <v>50</v>
      </c>
      <c r="H1142" s="51">
        <v>0.08</v>
      </c>
    </row>
    <row r="1143" s="51" customFormat="1" spans="1:8">
      <c r="A1143" s="57" t="s">
        <v>2581</v>
      </c>
      <c r="B1143" s="59"/>
      <c r="C1143" s="64" t="s">
        <v>2582</v>
      </c>
      <c r="D1143" s="59" t="s">
        <v>2051</v>
      </c>
      <c r="E1143" s="60" t="str">
        <f ca="1" t="shared" si="17"/>
        <v>LT</v>
      </c>
      <c r="F1143" s="51">
        <v>50</v>
      </c>
      <c r="H1143" s="51" t="e">
        <v>#N/A</v>
      </c>
    </row>
    <row r="1144" s="51" customFormat="1" spans="1:8">
      <c r="A1144" s="57" t="s">
        <v>2583</v>
      </c>
      <c r="B1144" s="121" t="s">
        <v>2584</v>
      </c>
      <c r="C1144" s="64" t="s">
        <v>2585</v>
      </c>
      <c r="D1144" s="59" t="s">
        <v>606</v>
      </c>
      <c r="E1144" s="60" t="str">
        <f ca="1" t="shared" si="17"/>
        <v>So</v>
      </c>
      <c r="F1144" s="51">
        <v>50</v>
      </c>
      <c r="H1144" s="51">
        <v>3.98</v>
      </c>
    </row>
    <row r="1145" s="51" customFormat="1" spans="1:8">
      <c r="A1145" s="57" t="s">
        <v>2586</v>
      </c>
      <c r="B1145" s="121" t="s">
        <v>2584</v>
      </c>
      <c r="C1145" s="64" t="s">
        <v>2587</v>
      </c>
      <c r="D1145" s="59" t="s">
        <v>606</v>
      </c>
      <c r="E1145" s="60" t="str">
        <f ca="1" t="shared" si="17"/>
        <v>So</v>
      </c>
      <c r="F1145" s="51">
        <v>50</v>
      </c>
      <c r="H1145" s="51">
        <v>5.76</v>
      </c>
    </row>
    <row r="1146" s="51" customFormat="1" spans="1:8">
      <c r="A1146" s="57" t="s">
        <v>2588</v>
      </c>
      <c r="B1146" s="120" t="s">
        <v>2589</v>
      </c>
      <c r="C1146" s="64" t="s">
        <v>2590</v>
      </c>
      <c r="D1146" s="59" t="s">
        <v>2577</v>
      </c>
      <c r="E1146" s="60" t="str">
        <f ca="1" t="shared" si="17"/>
        <v>VC</v>
      </c>
      <c r="F1146" s="51">
        <v>2000</v>
      </c>
      <c r="H1146" s="51">
        <v>0.19</v>
      </c>
    </row>
    <row r="1147" s="51" customFormat="1" spans="1:8">
      <c r="A1147" s="57" t="s">
        <v>2591</v>
      </c>
      <c r="B1147" s="120" t="s">
        <v>2592</v>
      </c>
      <c r="C1147" s="64" t="s">
        <v>2593</v>
      </c>
      <c r="D1147" s="59" t="s">
        <v>227</v>
      </c>
      <c r="E1147" s="60" t="str">
        <f ca="1" t="shared" si="17"/>
        <v>U1</v>
      </c>
      <c r="F1147" s="51">
        <v>50</v>
      </c>
      <c r="G1147" s="51" t="s">
        <v>28</v>
      </c>
      <c r="H1147" s="51" t="s">
        <v>227</v>
      </c>
    </row>
    <row r="1148" s="51" customFormat="1" spans="1:8">
      <c r="A1148" s="57" t="s">
        <v>2594</v>
      </c>
      <c r="B1148" s="120" t="s">
        <v>2592</v>
      </c>
      <c r="C1148" s="64" t="s">
        <v>2595</v>
      </c>
      <c r="D1148" s="59" t="s">
        <v>227</v>
      </c>
      <c r="E1148" s="60" t="str">
        <f ca="1" t="shared" si="17"/>
        <v>U2</v>
      </c>
      <c r="F1148" s="51">
        <v>50</v>
      </c>
      <c r="G1148" s="51" t="s">
        <v>28</v>
      </c>
      <c r="H1148" s="51" t="s">
        <v>227</v>
      </c>
    </row>
    <row r="1149" s="51" customFormat="1" spans="1:8">
      <c r="A1149" s="57" t="s">
        <v>2596</v>
      </c>
      <c r="B1149" s="120" t="s">
        <v>1149</v>
      </c>
      <c r="C1149" s="64" t="s">
        <v>2597</v>
      </c>
      <c r="D1149" s="59" t="s">
        <v>227</v>
      </c>
      <c r="E1149" s="60" t="str">
        <f ca="1" t="shared" si="17"/>
        <v>U1</v>
      </c>
      <c r="F1149" s="51">
        <v>50</v>
      </c>
      <c r="G1149" s="51" t="s">
        <v>28</v>
      </c>
      <c r="H1149" s="51" t="s">
        <v>227</v>
      </c>
    </row>
    <row r="1150" s="51" customFormat="1" spans="1:8">
      <c r="A1150" s="57" t="s">
        <v>2598</v>
      </c>
      <c r="B1150" s="120" t="s">
        <v>2599</v>
      </c>
      <c r="C1150" s="64" t="s">
        <v>2600</v>
      </c>
      <c r="D1150" s="59" t="s">
        <v>227</v>
      </c>
      <c r="E1150" s="60" t="str">
        <f ca="1" t="shared" si="17"/>
        <v>U8</v>
      </c>
      <c r="F1150" s="51">
        <v>50</v>
      </c>
      <c r="G1150" s="51" t="s">
        <v>28</v>
      </c>
      <c r="H1150" s="51" t="e">
        <v>#N/A</v>
      </c>
    </row>
    <row r="1151" s="51" customFormat="1" spans="1:8">
      <c r="A1151" s="57" t="s">
        <v>2601</v>
      </c>
      <c r="B1151" s="120" t="s">
        <v>1149</v>
      </c>
      <c r="C1151" s="64" t="s">
        <v>2602</v>
      </c>
      <c r="D1151" s="59" t="s">
        <v>227</v>
      </c>
      <c r="E1151" s="60" t="str">
        <f ca="1" t="shared" si="17"/>
        <v>U1</v>
      </c>
      <c r="F1151" s="51">
        <v>50</v>
      </c>
      <c r="G1151" s="51" t="s">
        <v>28</v>
      </c>
      <c r="H1151" s="51" t="s">
        <v>227</v>
      </c>
    </row>
    <row r="1152" spans="1:8">
      <c r="A1152" s="57" t="s">
        <v>2603</v>
      </c>
      <c r="B1152" s="120" t="s">
        <v>1149</v>
      </c>
      <c r="C1152" s="64" t="s">
        <v>2604</v>
      </c>
      <c r="D1152" s="59" t="s">
        <v>205</v>
      </c>
      <c r="E1152" s="60" t="str">
        <f ca="1" t="shared" si="17"/>
        <v>XA</v>
      </c>
      <c r="F1152" s="51">
        <v>50</v>
      </c>
      <c r="G1152" s="51" t="s">
        <v>28</v>
      </c>
      <c r="H1152" s="51">
        <v>0</v>
      </c>
    </row>
    <row r="1153" s="51" customFormat="1" spans="1:8">
      <c r="A1153" s="57" t="s">
        <v>2605</v>
      </c>
      <c r="B1153" s="59"/>
      <c r="C1153" s="64" t="s">
        <v>2606</v>
      </c>
      <c r="D1153" s="59" t="s">
        <v>205</v>
      </c>
      <c r="E1153" s="60" t="str">
        <f ca="1" t="shared" si="17"/>
        <v>AK</v>
      </c>
      <c r="F1153" s="51">
        <v>50</v>
      </c>
      <c r="G1153" s="51" t="s">
        <v>28</v>
      </c>
      <c r="H1153" s="51" t="s">
        <v>205</v>
      </c>
    </row>
    <row r="1154" s="51" customFormat="1" spans="1:8">
      <c r="A1154" s="57" t="s">
        <v>2607</v>
      </c>
      <c r="B1154" s="59"/>
      <c r="C1154" s="64" t="s">
        <v>2608</v>
      </c>
      <c r="D1154" s="59" t="s">
        <v>205</v>
      </c>
      <c r="E1154" s="60" t="str">
        <f ca="1" t="shared" si="17"/>
        <v>VK</v>
      </c>
      <c r="F1154" s="51">
        <v>50</v>
      </c>
      <c r="G1154" s="51" t="s">
        <v>28</v>
      </c>
      <c r="H1154" s="51" t="s">
        <v>205</v>
      </c>
    </row>
    <row r="1155" s="51" customFormat="1" spans="1:8">
      <c r="A1155" s="57" t="s">
        <v>2609</v>
      </c>
      <c r="B1155" s="59"/>
      <c r="C1155" s="64" t="s">
        <v>2610</v>
      </c>
      <c r="D1155" s="59" t="s">
        <v>205</v>
      </c>
      <c r="E1155" s="60" t="str">
        <f ca="1" t="shared" ref="E1155:E1218" si="18">LEFT(A1155,2)</f>
        <v>AV</v>
      </c>
      <c r="F1155" s="51">
        <v>50</v>
      </c>
      <c r="G1155" s="51" t="s">
        <v>28</v>
      </c>
      <c r="H1155" s="51" t="e">
        <v>#N/A</v>
      </c>
    </row>
    <row r="1156" s="51" customFormat="1" spans="1:8">
      <c r="A1156" s="57" t="s">
        <v>2611</v>
      </c>
      <c r="B1156" s="59"/>
      <c r="C1156" s="64" t="s">
        <v>2612</v>
      </c>
      <c r="D1156" s="59" t="s">
        <v>205</v>
      </c>
      <c r="E1156" s="60" t="str">
        <f ca="1" t="shared" si="18"/>
        <v>AV</v>
      </c>
      <c r="F1156" s="51">
        <v>50</v>
      </c>
      <c r="G1156" s="51" t="s">
        <v>28</v>
      </c>
      <c r="H1156" s="51" t="e">
        <v>#N/A</v>
      </c>
    </row>
    <row r="1157" spans="1:8">
      <c r="A1157" s="57" t="s">
        <v>2613</v>
      </c>
      <c r="B1157" s="59"/>
      <c r="C1157" s="69" t="s">
        <v>2614</v>
      </c>
      <c r="D1157" s="59" t="s">
        <v>600</v>
      </c>
      <c r="E1157" s="60" t="str">
        <f ca="1" t="shared" si="18"/>
        <v>ax</v>
      </c>
      <c r="F1157" s="51">
        <v>50</v>
      </c>
      <c r="G1157" s="51" t="s">
        <v>28</v>
      </c>
      <c r="H1157" s="51">
        <v>0.3</v>
      </c>
    </row>
    <row r="1158" spans="1:8">
      <c r="A1158" s="93" t="s">
        <v>2615</v>
      </c>
      <c r="B1158" s="59"/>
      <c r="C1158" s="57" t="s">
        <v>2616</v>
      </c>
      <c r="D1158" s="59" t="s">
        <v>27</v>
      </c>
      <c r="E1158" s="60" t="str">
        <f ca="1" t="shared" si="18"/>
        <v>GI</v>
      </c>
      <c r="F1158" s="51">
        <v>50</v>
      </c>
      <c r="G1158" s="51" t="s">
        <v>28</v>
      </c>
      <c r="H1158" s="51" t="e">
        <v>#N/A</v>
      </c>
    </row>
    <row r="1159" spans="1:8">
      <c r="A1159" s="93" t="s">
        <v>2617</v>
      </c>
      <c r="B1159" s="59"/>
      <c r="C1159" s="57" t="s">
        <v>2618</v>
      </c>
      <c r="D1159" s="59" t="s">
        <v>27</v>
      </c>
      <c r="E1159" s="60" t="str">
        <f ca="1" t="shared" si="18"/>
        <v>GI</v>
      </c>
      <c r="F1159" s="51">
        <v>50</v>
      </c>
      <c r="G1159" s="51" t="s">
        <v>28</v>
      </c>
      <c r="H1159" s="51" t="e">
        <v>#N/A</v>
      </c>
    </row>
    <row r="1160" spans="1:8">
      <c r="A1160" s="93" t="s">
        <v>2619</v>
      </c>
      <c r="B1160" s="59"/>
      <c r="C1160" s="57" t="s">
        <v>2620</v>
      </c>
      <c r="D1160" s="59" t="s">
        <v>27</v>
      </c>
      <c r="E1160" s="60" t="str">
        <f ca="1" t="shared" si="18"/>
        <v>GI</v>
      </c>
      <c r="F1160" s="51">
        <v>50</v>
      </c>
      <c r="G1160" s="51" t="s">
        <v>28</v>
      </c>
      <c r="H1160" s="51" t="e">
        <v>#N/A</v>
      </c>
    </row>
    <row r="1161" spans="1:8">
      <c r="A1161" s="93" t="s">
        <v>2621</v>
      </c>
      <c r="B1161" s="59"/>
      <c r="C1161" s="57" t="s">
        <v>2622</v>
      </c>
      <c r="D1161" s="59" t="s">
        <v>27</v>
      </c>
      <c r="E1161" s="60" t="str">
        <f ca="1" t="shared" si="18"/>
        <v>GI</v>
      </c>
      <c r="F1161" s="51">
        <v>50</v>
      </c>
      <c r="G1161" s="51" t="s">
        <v>28</v>
      </c>
      <c r="H1161" s="51">
        <v>0</v>
      </c>
    </row>
    <row r="1162" spans="1:8">
      <c r="A1162" s="93" t="s">
        <v>2623</v>
      </c>
      <c r="B1162" s="59"/>
      <c r="C1162" s="57" t="s">
        <v>2624</v>
      </c>
      <c r="D1162" s="59" t="s">
        <v>27</v>
      </c>
      <c r="E1162" s="60" t="str">
        <f ca="1" t="shared" si="18"/>
        <v>GI</v>
      </c>
      <c r="F1162" s="51">
        <v>50</v>
      </c>
      <c r="G1162" s="51" t="s">
        <v>28</v>
      </c>
      <c r="H1162" s="51">
        <v>0</v>
      </c>
    </row>
    <row r="1163" spans="1:8">
      <c r="A1163" s="93" t="s">
        <v>2625</v>
      </c>
      <c r="B1163" s="59"/>
      <c r="C1163" s="57" t="s">
        <v>2626</v>
      </c>
      <c r="D1163" s="59" t="s">
        <v>27</v>
      </c>
      <c r="E1163" s="60" t="str">
        <f ca="1" t="shared" si="18"/>
        <v>GI</v>
      </c>
      <c r="F1163" s="51">
        <v>50</v>
      </c>
      <c r="G1163" s="51" t="s">
        <v>28</v>
      </c>
      <c r="H1163" s="51">
        <v>1</v>
      </c>
    </row>
    <row r="1164" spans="1:8">
      <c r="A1164" s="93" t="s">
        <v>2627</v>
      </c>
      <c r="B1164" s="59"/>
      <c r="C1164" s="57" t="s">
        <v>2628</v>
      </c>
      <c r="D1164" s="59" t="s">
        <v>27</v>
      </c>
      <c r="E1164" s="60" t="str">
        <f ca="1" t="shared" si="18"/>
        <v>GI</v>
      </c>
      <c r="F1164" s="51">
        <v>50</v>
      </c>
      <c r="G1164" s="51" t="s">
        <v>28</v>
      </c>
      <c r="H1164" s="51">
        <v>0</v>
      </c>
    </row>
    <row r="1165" spans="1:8">
      <c r="A1165" s="93" t="s">
        <v>2629</v>
      </c>
      <c r="B1165" s="59"/>
      <c r="C1165" s="57" t="s">
        <v>2630</v>
      </c>
      <c r="D1165" s="59" t="s">
        <v>27</v>
      </c>
      <c r="E1165" s="60" t="str">
        <f ca="1" t="shared" si="18"/>
        <v>GI</v>
      </c>
      <c r="F1165" s="51">
        <v>50</v>
      </c>
      <c r="G1165" s="51" t="s">
        <v>28</v>
      </c>
      <c r="H1165" s="51">
        <v>1</v>
      </c>
    </row>
    <row r="1166" spans="1:8">
      <c r="A1166" s="93" t="s">
        <v>2631</v>
      </c>
      <c r="B1166" s="59"/>
      <c r="C1166" s="57" t="s">
        <v>2632</v>
      </c>
      <c r="D1166" s="59" t="s">
        <v>27</v>
      </c>
      <c r="E1166" s="60" t="str">
        <f ca="1" t="shared" si="18"/>
        <v>GI</v>
      </c>
      <c r="F1166" s="51">
        <v>50</v>
      </c>
      <c r="G1166" s="51" t="s">
        <v>28</v>
      </c>
      <c r="H1166" s="51">
        <v>0</v>
      </c>
    </row>
    <row r="1167" spans="1:8">
      <c r="A1167" s="93" t="s">
        <v>2633</v>
      </c>
      <c r="B1167" s="59"/>
      <c r="C1167" s="57" t="s">
        <v>2634</v>
      </c>
      <c r="D1167" s="59" t="s">
        <v>27</v>
      </c>
      <c r="E1167" s="60" t="str">
        <f ca="1" t="shared" si="18"/>
        <v>GI</v>
      </c>
      <c r="F1167" s="51">
        <v>50</v>
      </c>
      <c r="G1167" s="51" t="s">
        <v>28</v>
      </c>
      <c r="H1167" s="51" t="e">
        <v>#N/A</v>
      </c>
    </row>
    <row r="1168" spans="1:8">
      <c r="A1168" s="93" t="s">
        <v>2635</v>
      </c>
      <c r="B1168" s="59"/>
      <c r="C1168" s="57" t="s">
        <v>2636</v>
      </c>
      <c r="D1168" s="59" t="s">
        <v>27</v>
      </c>
      <c r="E1168" s="60" t="str">
        <f ca="1" t="shared" si="18"/>
        <v>GI</v>
      </c>
      <c r="F1168" s="51">
        <v>50</v>
      </c>
      <c r="G1168" s="51" t="s">
        <v>28</v>
      </c>
      <c r="H1168" s="51">
        <v>0</v>
      </c>
    </row>
    <row r="1169" spans="1:8">
      <c r="A1169" s="94" t="s">
        <v>2637</v>
      </c>
      <c r="B1169" s="59"/>
      <c r="C1169" s="57" t="s">
        <v>2638</v>
      </c>
      <c r="D1169" s="59" t="s">
        <v>27</v>
      </c>
      <c r="E1169" s="60" t="str">
        <f ca="1" t="shared" si="18"/>
        <v>GI</v>
      </c>
      <c r="F1169" s="51">
        <v>50</v>
      </c>
      <c r="G1169" s="51" t="s">
        <v>28</v>
      </c>
      <c r="H1169" s="51" t="e">
        <v>#N/A</v>
      </c>
    </row>
    <row r="1170" spans="1:8">
      <c r="A1170" s="94" t="s">
        <v>2639</v>
      </c>
      <c r="B1170" s="59"/>
      <c r="C1170" s="57" t="s">
        <v>2640</v>
      </c>
      <c r="D1170" s="59" t="s">
        <v>27</v>
      </c>
      <c r="E1170" s="60" t="str">
        <f ca="1" t="shared" si="18"/>
        <v>GI</v>
      </c>
      <c r="F1170" s="51">
        <v>50</v>
      </c>
      <c r="G1170" s="51" t="s">
        <v>28</v>
      </c>
      <c r="H1170" s="51">
        <v>0</v>
      </c>
    </row>
    <row r="1171" spans="1:8">
      <c r="A1171" s="94" t="s">
        <v>2641</v>
      </c>
      <c r="B1171" s="59"/>
      <c r="C1171" s="57" t="s">
        <v>2642</v>
      </c>
      <c r="D1171" s="59" t="s">
        <v>27</v>
      </c>
      <c r="E1171" s="60" t="str">
        <f ca="1" t="shared" si="18"/>
        <v>GI</v>
      </c>
      <c r="F1171" s="51">
        <v>50</v>
      </c>
      <c r="G1171" s="51" t="s">
        <v>28</v>
      </c>
      <c r="H1171" s="51" t="e">
        <v>#N/A</v>
      </c>
    </row>
    <row r="1172" spans="1:8">
      <c r="A1172" s="94" t="s">
        <v>2643</v>
      </c>
      <c r="B1172" s="59"/>
      <c r="C1172" s="57" t="s">
        <v>2644</v>
      </c>
      <c r="D1172" s="59" t="s">
        <v>27</v>
      </c>
      <c r="E1172" s="60" t="str">
        <f ca="1" t="shared" si="18"/>
        <v>GI</v>
      </c>
      <c r="F1172" s="51">
        <v>50</v>
      </c>
      <c r="G1172" s="51" t="s">
        <v>28</v>
      </c>
      <c r="H1172" s="51">
        <v>0</v>
      </c>
    </row>
    <row r="1173" spans="1:8">
      <c r="A1173" s="93" t="s">
        <v>2645</v>
      </c>
      <c r="B1173" s="59"/>
      <c r="C1173" s="57" t="s">
        <v>2646</v>
      </c>
      <c r="D1173" s="59" t="s">
        <v>27</v>
      </c>
      <c r="E1173" s="60" t="str">
        <f ca="1" t="shared" si="18"/>
        <v>GI</v>
      </c>
      <c r="F1173" s="51">
        <v>50</v>
      </c>
      <c r="G1173" s="51" t="s">
        <v>28</v>
      </c>
      <c r="H1173" s="51">
        <v>0</v>
      </c>
    </row>
    <row r="1174" spans="1:8">
      <c r="A1174" s="94" t="s">
        <v>2647</v>
      </c>
      <c r="B1174" s="59"/>
      <c r="C1174" s="57" t="s">
        <v>2648</v>
      </c>
      <c r="D1174" s="59" t="s">
        <v>27</v>
      </c>
      <c r="E1174" s="60" t="str">
        <f ca="1" t="shared" si="18"/>
        <v>GI</v>
      </c>
      <c r="F1174" s="51">
        <v>50</v>
      </c>
      <c r="G1174" s="51" t="s">
        <v>28</v>
      </c>
      <c r="H1174" s="51">
        <v>0</v>
      </c>
    </row>
    <row r="1175" spans="1:8">
      <c r="A1175" s="93" t="s">
        <v>2649</v>
      </c>
      <c r="B1175" s="59"/>
      <c r="C1175" s="57" t="s">
        <v>2650</v>
      </c>
      <c r="D1175" s="59" t="s">
        <v>27</v>
      </c>
      <c r="E1175" s="60" t="str">
        <f ca="1" t="shared" si="18"/>
        <v>GI</v>
      </c>
      <c r="F1175" s="51">
        <v>50</v>
      </c>
      <c r="G1175" s="51" t="s">
        <v>28</v>
      </c>
      <c r="H1175" s="51" t="e">
        <v>#N/A</v>
      </c>
    </row>
    <row r="1176" spans="1:8">
      <c r="A1176" s="93" t="s">
        <v>2651</v>
      </c>
      <c r="B1176" s="59"/>
      <c r="C1176" s="57" t="s">
        <v>2652</v>
      </c>
      <c r="D1176" s="59" t="s">
        <v>27</v>
      </c>
      <c r="E1176" s="60" t="str">
        <f ca="1" t="shared" si="18"/>
        <v>GI</v>
      </c>
      <c r="F1176" s="51">
        <v>50</v>
      </c>
      <c r="G1176" s="51" t="s">
        <v>28</v>
      </c>
      <c r="H1176" s="51">
        <v>0</v>
      </c>
    </row>
    <row r="1177" spans="1:8">
      <c r="A1177" s="93" t="s">
        <v>2653</v>
      </c>
      <c r="B1177" s="59"/>
      <c r="C1177" s="57" t="s">
        <v>2654</v>
      </c>
      <c r="D1177" s="59" t="s">
        <v>27</v>
      </c>
      <c r="E1177" s="60" t="str">
        <f ca="1" t="shared" si="18"/>
        <v>GI</v>
      </c>
      <c r="F1177" s="51">
        <v>50</v>
      </c>
      <c r="G1177" s="51" t="s">
        <v>28</v>
      </c>
      <c r="H1177" s="51">
        <v>0</v>
      </c>
    </row>
    <row r="1178" ht="14.25" customHeight="1" spans="1:8">
      <c r="A1178" s="94" t="s">
        <v>2655</v>
      </c>
      <c r="B1178" s="59"/>
      <c r="C1178" s="57" t="s">
        <v>2656</v>
      </c>
      <c r="D1178" s="59" t="s">
        <v>27</v>
      </c>
      <c r="E1178" s="60" t="str">
        <f ca="1" t="shared" si="18"/>
        <v>GI</v>
      </c>
      <c r="F1178" s="51">
        <v>50</v>
      </c>
      <c r="G1178" s="51" t="s">
        <v>28</v>
      </c>
      <c r="H1178" s="51" t="e">
        <v>#N/A</v>
      </c>
    </row>
    <row r="1179" ht="14.25" customHeight="1" spans="1:8">
      <c r="A1179" s="94" t="s">
        <v>2657</v>
      </c>
      <c r="B1179" s="59"/>
      <c r="C1179" s="57" t="s">
        <v>2658</v>
      </c>
      <c r="D1179" s="59" t="s">
        <v>27</v>
      </c>
      <c r="E1179" s="60" t="str">
        <f ca="1" t="shared" si="18"/>
        <v>GI</v>
      </c>
      <c r="F1179" s="51">
        <v>50</v>
      </c>
      <c r="G1179" s="51" t="s">
        <v>28</v>
      </c>
      <c r="H1179" s="51">
        <v>0</v>
      </c>
    </row>
    <row r="1180" spans="1:8">
      <c r="A1180" s="66" t="s">
        <v>2659</v>
      </c>
      <c r="B1180" s="115" t="s">
        <v>2660</v>
      </c>
      <c r="C1180" s="57" t="s">
        <v>2661</v>
      </c>
      <c r="D1180" s="59" t="s">
        <v>1570</v>
      </c>
      <c r="E1180" s="60" t="str">
        <f ca="1" t="shared" si="18"/>
        <v>KQ</v>
      </c>
      <c r="F1180" s="51">
        <v>50</v>
      </c>
      <c r="H1180" s="51" t="e">
        <v>#N/A</v>
      </c>
    </row>
    <row r="1181" spans="1:8">
      <c r="A1181" s="66" t="s">
        <v>2662</v>
      </c>
      <c r="B1181" s="115" t="s">
        <v>2663</v>
      </c>
      <c r="C1181" s="57" t="s">
        <v>2664</v>
      </c>
      <c r="D1181" s="59" t="s">
        <v>1570</v>
      </c>
      <c r="E1181" s="60" t="str">
        <f ca="1" t="shared" si="18"/>
        <v>KQ</v>
      </c>
      <c r="F1181" s="51">
        <v>50</v>
      </c>
      <c r="H1181" s="51" t="e">
        <v>#N/A</v>
      </c>
    </row>
    <row r="1182" spans="1:8">
      <c r="A1182" s="66" t="s">
        <v>2665</v>
      </c>
      <c r="B1182" s="115" t="s">
        <v>2666</v>
      </c>
      <c r="C1182" s="57" t="s">
        <v>2667</v>
      </c>
      <c r="D1182" s="59" t="s">
        <v>1570</v>
      </c>
      <c r="E1182" s="60" t="str">
        <f ca="1" t="shared" si="18"/>
        <v>KQ</v>
      </c>
      <c r="F1182" s="51">
        <v>50</v>
      </c>
      <c r="H1182" s="51" t="e">
        <v>#N/A</v>
      </c>
    </row>
    <row r="1183" spans="1:8">
      <c r="A1183" s="66" t="s">
        <v>2668</v>
      </c>
      <c r="B1183" s="115" t="s">
        <v>2666</v>
      </c>
      <c r="C1183" s="57" t="s">
        <v>2669</v>
      </c>
      <c r="D1183" s="59" t="s">
        <v>1570</v>
      </c>
      <c r="E1183" s="60" t="str">
        <f ca="1" t="shared" si="18"/>
        <v>KQ</v>
      </c>
      <c r="F1183" s="51">
        <v>50</v>
      </c>
      <c r="H1183" s="51" t="e">
        <v>#N/A</v>
      </c>
    </row>
    <row r="1184" spans="1:8">
      <c r="A1184" s="66" t="s">
        <v>2670</v>
      </c>
      <c r="B1184" s="115" t="s">
        <v>2666</v>
      </c>
      <c r="C1184" s="57" t="s">
        <v>2671</v>
      </c>
      <c r="D1184" s="59" t="s">
        <v>1570</v>
      </c>
      <c r="E1184" s="60" t="str">
        <f ca="1" t="shared" si="18"/>
        <v>KQ</v>
      </c>
      <c r="F1184" s="51">
        <v>50</v>
      </c>
      <c r="H1184" s="51" t="e">
        <v>#N/A</v>
      </c>
    </row>
    <row r="1185" spans="1:8">
      <c r="A1185" s="66" t="s">
        <v>2672</v>
      </c>
      <c r="B1185" s="115" t="s">
        <v>2666</v>
      </c>
      <c r="C1185" s="57" t="s">
        <v>2673</v>
      </c>
      <c r="D1185" s="59" t="s">
        <v>1570</v>
      </c>
      <c r="E1185" s="60" t="str">
        <f ca="1" t="shared" si="18"/>
        <v>KT</v>
      </c>
      <c r="F1185" s="51">
        <v>50</v>
      </c>
      <c r="H1185" s="51" t="e">
        <v>#N/A</v>
      </c>
    </row>
    <row r="1186" spans="1:8">
      <c r="A1186" s="66" t="s">
        <v>2674</v>
      </c>
      <c r="B1186" s="115" t="s">
        <v>2666</v>
      </c>
      <c r="C1186" s="57" t="s">
        <v>2675</v>
      </c>
      <c r="D1186" s="59" t="s">
        <v>1570</v>
      </c>
      <c r="E1186" s="60" t="str">
        <f ca="1" t="shared" si="18"/>
        <v>KD</v>
      </c>
      <c r="F1186" s="51">
        <v>50</v>
      </c>
      <c r="H1186" s="51" t="e">
        <v>#N/A</v>
      </c>
    </row>
    <row r="1187" spans="1:8">
      <c r="A1187" s="57" t="s">
        <v>2676</v>
      </c>
      <c r="B1187" s="59"/>
      <c r="C1187" s="64" t="s">
        <v>2677</v>
      </c>
      <c r="D1187" s="59" t="s">
        <v>27</v>
      </c>
      <c r="E1187" s="60" t="str">
        <f ca="1" t="shared" si="18"/>
        <v>Di</v>
      </c>
      <c r="F1187" s="51">
        <v>50</v>
      </c>
      <c r="G1187" s="51" t="s">
        <v>28</v>
      </c>
      <c r="H1187" s="51" t="e">
        <v>#N/A</v>
      </c>
    </row>
    <row r="1188" spans="1:8">
      <c r="A1188" s="57" t="s">
        <v>2678</v>
      </c>
      <c r="B1188" s="59"/>
      <c r="C1188" s="64" t="s">
        <v>2679</v>
      </c>
      <c r="D1188" s="59" t="s">
        <v>27</v>
      </c>
      <c r="E1188" s="60" t="str">
        <f ca="1" t="shared" si="18"/>
        <v>De</v>
      </c>
      <c r="F1188" s="51">
        <v>50</v>
      </c>
      <c r="G1188" s="51" t="s">
        <v>28</v>
      </c>
      <c r="H1188" s="51" t="e">
        <v>#N/A</v>
      </c>
    </row>
    <row r="1189" spans="1:8">
      <c r="A1189" s="52" t="s">
        <v>2680</v>
      </c>
      <c r="E1189" s="60" t="str">
        <f ca="1" t="shared" si="18"/>
        <v>Đơ</v>
      </c>
      <c r="F1189" s="51">
        <v>50</v>
      </c>
      <c r="G1189" s="51" t="s">
        <v>28</v>
      </c>
      <c r="H1189" s="51" t="e">
        <v>#N/A</v>
      </c>
    </row>
    <row r="1190" spans="1:8">
      <c r="A1190" s="57" t="s">
        <v>2681</v>
      </c>
      <c r="B1190" s="58" t="s">
        <v>2682</v>
      </c>
      <c r="C1190" s="57" t="s">
        <v>2683</v>
      </c>
      <c r="D1190" s="59" t="s">
        <v>27</v>
      </c>
      <c r="E1190" s="60" t="str">
        <f ca="1" t="shared" si="18"/>
        <v>TU</v>
      </c>
      <c r="F1190" s="51">
        <v>50</v>
      </c>
      <c r="G1190" s="51" t="s">
        <v>28</v>
      </c>
      <c r="H1190" s="51">
        <v>0</v>
      </c>
    </row>
    <row r="1191" spans="1:8">
      <c r="A1191" s="57" t="s">
        <v>2684</v>
      </c>
      <c r="B1191" s="58"/>
      <c r="C1191" s="64" t="s">
        <v>2685</v>
      </c>
      <c r="D1191" s="59" t="s">
        <v>507</v>
      </c>
      <c r="E1191" s="60" t="str">
        <f ca="1" t="shared" si="18"/>
        <v>TR</v>
      </c>
      <c r="F1191" s="51">
        <v>2</v>
      </c>
      <c r="G1191" s="51" t="s">
        <v>28</v>
      </c>
      <c r="H1191" s="51">
        <v>1</v>
      </c>
    </row>
    <row r="1192" spans="1:8">
      <c r="A1192" s="57" t="s">
        <v>2686</v>
      </c>
      <c r="B1192" s="58"/>
      <c r="C1192" s="64" t="s">
        <v>2687</v>
      </c>
      <c r="D1192" s="59" t="s">
        <v>507</v>
      </c>
      <c r="E1192" s="60" t="str">
        <f ca="1" t="shared" si="18"/>
        <v>TR</v>
      </c>
      <c r="F1192" s="51">
        <v>2</v>
      </c>
      <c r="G1192" s="51" t="s">
        <v>28</v>
      </c>
      <c r="H1192" s="51" t="e">
        <v>#N/A</v>
      </c>
    </row>
    <row r="1193" spans="1:8">
      <c r="A1193" s="57" t="s">
        <v>2688</v>
      </c>
      <c r="B1193" s="115" t="s">
        <v>30</v>
      </c>
      <c r="C1193" s="64" t="s">
        <v>2689</v>
      </c>
      <c r="D1193" s="59" t="s">
        <v>27</v>
      </c>
      <c r="E1193" s="60" t="str">
        <f ca="1" t="shared" si="18"/>
        <v>D1</v>
      </c>
      <c r="F1193" s="51">
        <v>50</v>
      </c>
      <c r="G1193" s="51" t="s">
        <v>28</v>
      </c>
      <c r="H1193" s="51" t="e">
        <v>#N/A</v>
      </c>
    </row>
    <row r="1194" ht="32.25" customHeight="1" spans="1:8">
      <c r="A1194" s="57" t="s">
        <v>2690</v>
      </c>
      <c r="B1194" s="58"/>
      <c r="C1194" s="64" t="s">
        <v>2691</v>
      </c>
      <c r="D1194" s="59" t="s">
        <v>2692</v>
      </c>
      <c r="E1194" s="60" t="str">
        <f ca="1" t="shared" si="18"/>
        <v>CD</v>
      </c>
      <c r="F1194" s="51">
        <v>50</v>
      </c>
      <c r="G1194" s="51" t="s">
        <v>28</v>
      </c>
      <c r="H1194" s="51" t="e">
        <v>#N/A</v>
      </c>
    </row>
    <row r="1195" ht="32.25" customHeight="1" spans="1:8">
      <c r="A1195" s="57" t="s">
        <v>2693</v>
      </c>
      <c r="B1195" s="58"/>
      <c r="C1195" s="64" t="s">
        <v>2694</v>
      </c>
      <c r="D1195" s="59" t="s">
        <v>2692</v>
      </c>
      <c r="E1195" s="60" t="str">
        <f ca="1" t="shared" si="18"/>
        <v>CD</v>
      </c>
      <c r="F1195" s="51">
        <v>50</v>
      </c>
      <c r="G1195" s="51" t="s">
        <v>28</v>
      </c>
      <c r="H1195" s="51">
        <v>0</v>
      </c>
    </row>
    <row r="1196" ht="32.25" customHeight="1" spans="1:8">
      <c r="A1196" s="57" t="s">
        <v>2695</v>
      </c>
      <c r="B1196" s="58"/>
      <c r="C1196" s="64" t="s">
        <v>2696</v>
      </c>
      <c r="D1196" s="59" t="s">
        <v>2692</v>
      </c>
      <c r="E1196" s="60" t="str">
        <f ca="1" t="shared" si="18"/>
        <v>CD</v>
      </c>
      <c r="F1196" s="51">
        <v>50</v>
      </c>
      <c r="G1196" s="51" t="s">
        <v>28</v>
      </c>
      <c r="H1196" s="51">
        <v>0</v>
      </c>
    </row>
    <row r="1197" ht="30.75" customHeight="1" spans="1:8">
      <c r="A1197" s="57" t="s">
        <v>2697</v>
      </c>
      <c r="B1197" s="58"/>
      <c r="C1197" s="64" t="s">
        <v>2698</v>
      </c>
      <c r="D1197" s="59" t="s">
        <v>2692</v>
      </c>
      <c r="E1197" s="60" t="str">
        <f ca="1" t="shared" si="18"/>
        <v>CD</v>
      </c>
      <c r="F1197" s="51">
        <v>50</v>
      </c>
      <c r="G1197" s="51" t="s">
        <v>28</v>
      </c>
      <c r="H1197" s="51">
        <v>0</v>
      </c>
    </row>
    <row r="1198" ht="32.25" customHeight="1" spans="1:8">
      <c r="A1198" s="57" t="s">
        <v>2699</v>
      </c>
      <c r="B1198" s="58"/>
      <c r="C1198" s="64" t="s">
        <v>2700</v>
      </c>
      <c r="D1198" s="59" t="s">
        <v>2692</v>
      </c>
      <c r="E1198" s="60" t="str">
        <f ca="1" t="shared" si="18"/>
        <v>CD</v>
      </c>
      <c r="F1198" s="51">
        <v>50</v>
      </c>
      <c r="G1198" s="51" t="s">
        <v>28</v>
      </c>
      <c r="H1198" s="51" t="e">
        <v>#N/A</v>
      </c>
    </row>
    <row r="1199" spans="1:8">
      <c r="A1199" s="57" t="s">
        <v>2701</v>
      </c>
      <c r="B1199" s="58"/>
      <c r="C1199" s="64" t="s">
        <v>2702</v>
      </c>
      <c r="D1199" s="59" t="s">
        <v>2692</v>
      </c>
      <c r="E1199" s="60" t="str">
        <f ca="1" t="shared" si="18"/>
        <v>CD</v>
      </c>
      <c r="F1199" s="51">
        <v>50</v>
      </c>
      <c r="G1199" s="51" t="s">
        <v>28</v>
      </c>
      <c r="H1199" s="51" t="e">
        <v>#N/A</v>
      </c>
    </row>
    <row r="1200" spans="1:8">
      <c r="A1200" s="57" t="s">
        <v>2703</v>
      </c>
      <c r="B1200" s="59"/>
      <c r="C1200" s="64" t="s">
        <v>2704</v>
      </c>
      <c r="D1200" s="59" t="s">
        <v>57</v>
      </c>
      <c r="E1200" s="60" t="str">
        <f ca="1" t="shared" si="18"/>
        <v>DE</v>
      </c>
      <c r="F1200" s="51">
        <v>50</v>
      </c>
      <c r="G1200" s="51" t="s">
        <v>28</v>
      </c>
      <c r="H1200" s="51">
        <v>0</v>
      </c>
    </row>
    <row r="1201" spans="1:8">
      <c r="A1201" s="57" t="s">
        <v>2705</v>
      </c>
      <c r="B1201" s="59"/>
      <c r="C1201" s="64" t="s">
        <v>2706</v>
      </c>
      <c r="D1201" s="59" t="s">
        <v>57</v>
      </c>
      <c r="E1201" s="60" t="str">
        <f ca="1" t="shared" si="18"/>
        <v>DE</v>
      </c>
      <c r="F1201" s="51">
        <v>50</v>
      </c>
      <c r="G1201" s="51" t="s">
        <v>28</v>
      </c>
      <c r="H1201" s="51" t="e">
        <v>#N/A</v>
      </c>
    </row>
    <row r="1202" spans="1:8">
      <c r="A1202" s="57" t="s">
        <v>2707</v>
      </c>
      <c r="B1202" s="58"/>
      <c r="C1202" s="64" t="s">
        <v>2708</v>
      </c>
      <c r="D1202" s="59" t="s">
        <v>27</v>
      </c>
      <c r="E1202" s="60" t="str">
        <f ca="1" t="shared" si="18"/>
        <v>CH</v>
      </c>
      <c r="F1202" s="51">
        <v>50</v>
      </c>
      <c r="G1202" s="51" t="s">
        <v>28</v>
      </c>
      <c r="H1202" s="51">
        <v>0</v>
      </c>
    </row>
    <row r="1203" spans="1:8">
      <c r="A1203" s="57" t="s">
        <v>2709</v>
      </c>
      <c r="B1203" s="59"/>
      <c r="C1203" s="64" t="s">
        <v>2710</v>
      </c>
      <c r="D1203" s="59" t="s">
        <v>27</v>
      </c>
      <c r="E1203" s="60" t="str">
        <f ca="1" t="shared" si="18"/>
        <v>DO</v>
      </c>
      <c r="F1203" s="51">
        <v>50</v>
      </c>
      <c r="G1203" s="51" t="s">
        <v>28</v>
      </c>
      <c r="H1203" s="51" t="e">
        <v>#N/A</v>
      </c>
    </row>
    <row r="1204" spans="1:8">
      <c r="A1204" s="95"/>
      <c r="B1204" s="96"/>
      <c r="C1204" s="95"/>
      <c r="D1204" s="97"/>
      <c r="E1204" s="60" t="str">
        <f ca="1" t="shared" si="18"/>
        <v/>
      </c>
      <c r="F1204" s="51">
        <v>50</v>
      </c>
      <c r="H1204" s="51">
        <v>0</v>
      </c>
    </row>
    <row r="1205" s="51" customFormat="1" spans="1:8">
      <c r="A1205" s="98" t="s">
        <v>2711</v>
      </c>
      <c r="B1205" s="99" t="s">
        <v>2712</v>
      </c>
      <c r="C1205" s="98" t="s">
        <v>2713</v>
      </c>
      <c r="D1205" s="100" t="s">
        <v>27</v>
      </c>
      <c r="E1205" s="60" t="str">
        <f ca="1" t="shared" si="18"/>
        <v>LC</v>
      </c>
      <c r="F1205" s="51">
        <v>2000</v>
      </c>
      <c r="H1205" s="51">
        <v>0</v>
      </c>
    </row>
    <row r="1206" s="51" customFormat="1" spans="1:8">
      <c r="A1206" s="57" t="s">
        <v>2714</v>
      </c>
      <c r="B1206" s="58" t="s">
        <v>2715</v>
      </c>
      <c r="C1206" s="57" t="s">
        <v>2716</v>
      </c>
      <c r="D1206" s="59" t="s">
        <v>2692</v>
      </c>
      <c r="E1206" s="60" t="str">
        <f ca="1" t="shared" si="18"/>
        <v>LC</v>
      </c>
      <c r="F1206" s="51">
        <v>2000</v>
      </c>
      <c r="H1206" s="51" t="e">
        <v>#N/A</v>
      </c>
    </row>
    <row r="1207" s="51" customFormat="1" spans="1:8">
      <c r="A1207" s="57" t="s">
        <v>2717</v>
      </c>
      <c r="B1207" s="58" t="s">
        <v>2718</v>
      </c>
      <c r="C1207" s="57" t="s">
        <v>2719</v>
      </c>
      <c r="D1207" s="59" t="s">
        <v>2692</v>
      </c>
      <c r="E1207" s="60" t="str">
        <f ca="1" t="shared" si="18"/>
        <v>LC</v>
      </c>
      <c r="F1207" s="51">
        <v>2000</v>
      </c>
      <c r="H1207" s="51" t="e">
        <v>#N/A</v>
      </c>
    </row>
    <row r="1208" s="51" customFormat="1" spans="1:8">
      <c r="A1208" s="57" t="s">
        <v>2720</v>
      </c>
      <c r="B1208" s="58" t="s">
        <v>2721</v>
      </c>
      <c r="C1208" s="57" t="s">
        <v>2722</v>
      </c>
      <c r="D1208" s="59" t="s">
        <v>241</v>
      </c>
      <c r="E1208" s="60" t="str">
        <f ca="1" t="shared" si="18"/>
        <v>LT</v>
      </c>
      <c r="F1208" s="51">
        <v>2000</v>
      </c>
      <c r="H1208" s="51" t="e">
        <v>#N/A</v>
      </c>
    </row>
    <row r="1209" s="51" customFormat="1" spans="1:8">
      <c r="A1209" s="57" t="s">
        <v>2723</v>
      </c>
      <c r="B1209" s="58" t="s">
        <v>2724</v>
      </c>
      <c r="C1209" s="57" t="s">
        <v>2725</v>
      </c>
      <c r="D1209" s="59" t="s">
        <v>57</v>
      </c>
      <c r="E1209" s="60" t="str">
        <f ca="1" t="shared" si="18"/>
        <v>LD</v>
      </c>
      <c r="F1209" s="51">
        <v>2000</v>
      </c>
      <c r="H1209" s="51">
        <v>0</v>
      </c>
    </row>
    <row r="1210" s="51" customFormat="1" spans="1:8">
      <c r="A1210" s="57" t="s">
        <v>2726</v>
      </c>
      <c r="B1210" s="58" t="s">
        <v>2727</v>
      </c>
      <c r="C1210" s="64" t="s">
        <v>2728</v>
      </c>
      <c r="D1210" s="59" t="s">
        <v>507</v>
      </c>
      <c r="E1210" s="60" t="str">
        <f ca="1" t="shared" si="18"/>
        <v>LT</v>
      </c>
      <c r="F1210" s="51">
        <v>2000</v>
      </c>
      <c r="H1210" s="51">
        <v>1</v>
      </c>
    </row>
    <row r="1211" s="51" customFormat="1" spans="1:8">
      <c r="A1211" s="57" t="s">
        <v>2729</v>
      </c>
      <c r="B1211" s="58" t="s">
        <v>2730</v>
      </c>
      <c r="C1211" s="64" t="s">
        <v>2731</v>
      </c>
      <c r="D1211" s="59" t="s">
        <v>507</v>
      </c>
      <c r="E1211" s="60" t="str">
        <f ca="1" t="shared" si="18"/>
        <v>LB</v>
      </c>
      <c r="F1211" s="51">
        <v>2000</v>
      </c>
      <c r="H1211" s="51" t="e">
        <v>#N/A</v>
      </c>
    </row>
    <row r="1212" s="51" customFormat="1" spans="1:8">
      <c r="A1212" s="57" t="s">
        <v>2732</v>
      </c>
      <c r="B1212" s="58" t="s">
        <v>2733</v>
      </c>
      <c r="C1212" s="64" t="s">
        <v>2734</v>
      </c>
      <c r="D1212" s="59" t="s">
        <v>241</v>
      </c>
      <c r="E1212" s="60" t="str">
        <f ca="1" t="shared" si="18"/>
        <v>LU</v>
      </c>
      <c r="F1212" s="51">
        <v>2000</v>
      </c>
      <c r="H1212" s="51">
        <v>0</v>
      </c>
    </row>
    <row r="1213" s="51" customFormat="1" spans="1:8">
      <c r="A1213" s="57" t="s">
        <v>2735</v>
      </c>
      <c r="B1213" s="58" t="s">
        <v>2736</v>
      </c>
      <c r="C1213" s="64" t="s">
        <v>2737</v>
      </c>
      <c r="D1213" s="59" t="s">
        <v>241</v>
      </c>
      <c r="E1213" s="60" t="str">
        <f ca="1" t="shared" si="18"/>
        <v>KC</v>
      </c>
      <c r="F1213" s="51">
        <v>2000</v>
      </c>
      <c r="H1213" s="51">
        <v>0</v>
      </c>
    </row>
    <row r="1214" s="51" customFormat="1" spans="1:8">
      <c r="A1214" s="57" t="s">
        <v>2738</v>
      </c>
      <c r="B1214" s="58" t="s">
        <v>2739</v>
      </c>
      <c r="C1214" s="64" t="s">
        <v>2740</v>
      </c>
      <c r="D1214" s="59" t="s">
        <v>241</v>
      </c>
      <c r="E1214" s="60" t="str">
        <f ca="1" t="shared" si="18"/>
        <v>KC</v>
      </c>
      <c r="F1214" s="51">
        <v>2000</v>
      </c>
      <c r="H1214" s="51" t="e">
        <v>#N/A</v>
      </c>
    </row>
    <row r="1215" s="51" customFormat="1" spans="1:8">
      <c r="A1215" s="57" t="s">
        <v>2741</v>
      </c>
      <c r="B1215" s="58" t="s">
        <v>2742</v>
      </c>
      <c r="C1215" s="64" t="s">
        <v>2743</v>
      </c>
      <c r="D1215" s="59" t="s">
        <v>241</v>
      </c>
      <c r="E1215" s="60" t="str">
        <f ca="1" t="shared" si="18"/>
        <v>LC</v>
      </c>
      <c r="F1215" s="51">
        <v>2000</v>
      </c>
      <c r="H1215" s="51" t="e">
        <v>#N/A</v>
      </c>
    </row>
    <row r="1216" s="51" customFormat="1" spans="1:8">
      <c r="A1216" s="57" t="s">
        <v>2744</v>
      </c>
      <c r="B1216" s="58" t="s">
        <v>2745</v>
      </c>
      <c r="C1216" s="64" t="s">
        <v>2746</v>
      </c>
      <c r="D1216" s="59" t="s">
        <v>57</v>
      </c>
      <c r="E1216" s="60" t="str">
        <f ca="1" t="shared" si="18"/>
        <v>LD</v>
      </c>
      <c r="F1216" s="51">
        <v>2000</v>
      </c>
      <c r="H1216" s="51">
        <v>0</v>
      </c>
    </row>
    <row r="1217" s="51" customFormat="1" spans="1:8">
      <c r="A1217" s="57" t="s">
        <v>2747</v>
      </c>
      <c r="B1217" s="58" t="s">
        <v>2748</v>
      </c>
      <c r="C1217" s="64" t="s">
        <v>2749</v>
      </c>
      <c r="D1217" s="59" t="s">
        <v>27</v>
      </c>
      <c r="E1217" s="60" t="str">
        <f ca="1" t="shared" si="18"/>
        <v>Lc</v>
      </c>
      <c r="F1217" s="51">
        <v>2000</v>
      </c>
      <c r="H1217" s="51">
        <v>0</v>
      </c>
    </row>
    <row r="1218" s="51" customFormat="1" spans="1:8">
      <c r="A1218" s="57" t="s">
        <v>2750</v>
      </c>
      <c r="B1218" s="58" t="s">
        <v>1699</v>
      </c>
      <c r="C1218" s="64" t="s">
        <v>2751</v>
      </c>
      <c r="D1218" s="59" t="s">
        <v>241</v>
      </c>
      <c r="E1218" s="60" t="str">
        <f ca="1" t="shared" si="18"/>
        <v>LP</v>
      </c>
      <c r="F1218" s="51">
        <v>2000</v>
      </c>
      <c r="H1218" s="51">
        <v>0</v>
      </c>
    </row>
    <row r="1219" s="51" customFormat="1" spans="1:8">
      <c r="A1219" s="57" t="s">
        <v>2752</v>
      </c>
      <c r="B1219" s="58" t="s">
        <v>2753</v>
      </c>
      <c r="C1219" s="64" t="s">
        <v>2754</v>
      </c>
      <c r="D1219" s="59" t="s">
        <v>241</v>
      </c>
      <c r="E1219" s="60" t="str">
        <f ca="1" t="shared" ref="E1219:E1252" si="19">LEFT(A1219,2)</f>
        <v>LP</v>
      </c>
      <c r="F1219" s="51">
        <v>2000</v>
      </c>
      <c r="H1219" s="51" t="e">
        <v>#N/A</v>
      </c>
    </row>
    <row r="1220" s="51" customFormat="1" spans="1:8">
      <c r="A1220" s="57" t="s">
        <v>2755</v>
      </c>
      <c r="B1220" s="58" t="s">
        <v>1690</v>
      </c>
      <c r="C1220" s="64" t="s">
        <v>2756</v>
      </c>
      <c r="D1220" s="59" t="s">
        <v>241</v>
      </c>
      <c r="E1220" s="60" t="str">
        <f ca="1" t="shared" si="19"/>
        <v>LS</v>
      </c>
      <c r="F1220" s="51">
        <v>2000</v>
      </c>
      <c r="H1220" s="51">
        <v>0</v>
      </c>
    </row>
    <row r="1221" s="51" customFormat="1" spans="1:8">
      <c r="A1221" s="57" t="s">
        <v>2757</v>
      </c>
      <c r="B1221" s="58" t="s">
        <v>1155</v>
      </c>
      <c r="C1221" s="64" t="s">
        <v>2758</v>
      </c>
      <c r="D1221" s="59" t="s">
        <v>987</v>
      </c>
      <c r="E1221" s="60" t="str">
        <f ca="1" t="shared" si="19"/>
        <v>LG</v>
      </c>
      <c r="F1221" s="51">
        <v>2000</v>
      </c>
      <c r="H1221" s="51" t="e">
        <v>#N/A</v>
      </c>
    </row>
    <row r="1222" s="51" customFormat="1" spans="1:8">
      <c r="A1222" s="57" t="s">
        <v>2759</v>
      </c>
      <c r="B1222" s="58" t="s">
        <v>2760</v>
      </c>
      <c r="C1222" s="64" t="s">
        <v>2761</v>
      </c>
      <c r="D1222" s="59" t="s">
        <v>600</v>
      </c>
      <c r="E1222" s="60" t="str">
        <f ca="1" t="shared" si="19"/>
        <v>DM</v>
      </c>
      <c r="F1222" s="51">
        <v>2000</v>
      </c>
      <c r="H1222" s="51" t="e">
        <v>#N/A</v>
      </c>
    </row>
    <row r="1223" s="51" customFormat="1" spans="1:8">
      <c r="A1223" s="57" t="s">
        <v>2762</v>
      </c>
      <c r="B1223" s="58" t="s">
        <v>2763</v>
      </c>
      <c r="C1223" s="64" t="s">
        <v>2764</v>
      </c>
      <c r="D1223" s="59" t="s">
        <v>600</v>
      </c>
      <c r="E1223" s="60" t="str">
        <f ca="1" t="shared" si="19"/>
        <v>DD</v>
      </c>
      <c r="F1223" s="51">
        <v>2000</v>
      </c>
      <c r="H1223" s="51" t="e">
        <v>#N/A</v>
      </c>
    </row>
    <row r="1224" s="51" customFormat="1" spans="1:8">
      <c r="A1224" s="57" t="s">
        <v>2765</v>
      </c>
      <c r="B1224" s="58" t="s">
        <v>2766</v>
      </c>
      <c r="C1224" s="64" t="s">
        <v>2767</v>
      </c>
      <c r="D1224" s="59" t="s">
        <v>600</v>
      </c>
      <c r="E1224" s="60" t="str">
        <f ca="1" t="shared" si="19"/>
        <v>DC</v>
      </c>
      <c r="F1224" s="51">
        <v>2000</v>
      </c>
      <c r="H1224" s="51" t="e">
        <v>#N/A</v>
      </c>
    </row>
    <row r="1225" s="51" customFormat="1" spans="1:8">
      <c r="A1225" s="57" t="s">
        <v>2768</v>
      </c>
      <c r="B1225" s="58" t="s">
        <v>2769</v>
      </c>
      <c r="C1225" s="64" t="s">
        <v>2770</v>
      </c>
      <c r="D1225" s="59" t="s">
        <v>600</v>
      </c>
      <c r="E1225" s="60" t="str">
        <f ca="1" t="shared" si="19"/>
        <v>DM</v>
      </c>
      <c r="F1225" s="51">
        <v>2000</v>
      </c>
      <c r="H1225" s="51" t="e">
        <v>#N/A</v>
      </c>
    </row>
    <row r="1226" s="51" customFormat="1" spans="1:8">
      <c r="A1226" s="57" t="s">
        <v>2771</v>
      </c>
      <c r="B1226" s="58" t="s">
        <v>2772</v>
      </c>
      <c r="C1226" s="64" t="s">
        <v>2773</v>
      </c>
      <c r="D1226" s="59" t="s">
        <v>600</v>
      </c>
      <c r="E1226" s="60" t="str">
        <f ca="1" t="shared" si="19"/>
        <v>DM</v>
      </c>
      <c r="F1226" s="51">
        <v>2000</v>
      </c>
      <c r="H1226" s="51" t="e">
        <v>#N/A</v>
      </c>
    </row>
    <row r="1227" s="51" customFormat="1" spans="1:8">
      <c r="A1227" s="57" t="s">
        <v>2774</v>
      </c>
      <c r="B1227" s="58" t="s">
        <v>2775</v>
      </c>
      <c r="C1227" s="64" t="s">
        <v>2776</v>
      </c>
      <c r="D1227" s="59" t="s">
        <v>600</v>
      </c>
      <c r="E1227" s="60" t="str">
        <f ca="1" t="shared" si="19"/>
        <v>DD</v>
      </c>
      <c r="F1227" s="51">
        <v>2000</v>
      </c>
      <c r="H1227" s="51" t="e">
        <v>#N/A</v>
      </c>
    </row>
    <row r="1228" s="51" customFormat="1" spans="1:8">
      <c r="A1228" s="57" t="s">
        <v>2777</v>
      </c>
      <c r="B1228" s="58" t="s">
        <v>2778</v>
      </c>
      <c r="C1228" s="64" t="s">
        <v>2779</v>
      </c>
      <c r="D1228" s="59" t="s">
        <v>600</v>
      </c>
      <c r="E1228" s="60" t="str">
        <f ca="1" t="shared" si="19"/>
        <v>DC</v>
      </c>
      <c r="F1228" s="51">
        <v>2000</v>
      </c>
      <c r="H1228" s="51" t="e">
        <v>#N/A</v>
      </c>
    </row>
    <row r="1229" s="51" customFormat="1" ht="12" customHeight="1" spans="1:8">
      <c r="A1229" s="57" t="s">
        <v>2780</v>
      </c>
      <c r="B1229" s="58" t="s">
        <v>2781</v>
      </c>
      <c r="C1229" s="64" t="s">
        <v>2782</v>
      </c>
      <c r="D1229" s="59" t="s">
        <v>512</v>
      </c>
      <c r="E1229" s="60" t="str">
        <f ca="1" t="shared" si="19"/>
        <v>Do</v>
      </c>
      <c r="F1229" s="51">
        <v>2000</v>
      </c>
      <c r="H1229" s="51" t="e">
        <v>#N/A</v>
      </c>
    </row>
    <row r="1230" s="51" customFormat="1" spans="1:8">
      <c r="A1230" s="57" t="s">
        <v>2783</v>
      </c>
      <c r="B1230" s="58" t="s">
        <v>2784</v>
      </c>
      <c r="C1230" s="64" t="s">
        <v>2785</v>
      </c>
      <c r="D1230" s="59" t="s">
        <v>600</v>
      </c>
      <c r="E1230" s="60" t="str">
        <f ca="1" t="shared" si="19"/>
        <v>DB</v>
      </c>
      <c r="F1230" s="51">
        <v>2000</v>
      </c>
      <c r="H1230" s="51" t="e">
        <v>#N/A</v>
      </c>
    </row>
    <row r="1231" s="51" customFormat="1" spans="1:8">
      <c r="A1231" s="57" t="s">
        <v>2786</v>
      </c>
      <c r="B1231" s="58" t="s">
        <v>2784</v>
      </c>
      <c r="C1231" s="64" t="s">
        <v>2787</v>
      </c>
      <c r="D1231" s="59" t="s">
        <v>600</v>
      </c>
      <c r="E1231" s="60" t="str">
        <f ca="1" t="shared" si="19"/>
        <v>DB</v>
      </c>
      <c r="F1231" s="51">
        <v>2000</v>
      </c>
      <c r="H1231" s="51" t="e">
        <v>#N/A</v>
      </c>
    </row>
    <row r="1232" s="51" customFormat="1" spans="1:8">
      <c r="A1232" s="57" t="s">
        <v>2788</v>
      </c>
      <c r="B1232" s="58" t="s">
        <v>2789</v>
      </c>
      <c r="C1232" s="64" t="s">
        <v>2790</v>
      </c>
      <c r="D1232" s="59" t="s">
        <v>600</v>
      </c>
      <c r="E1232" s="60" t="str">
        <f ca="1" t="shared" si="19"/>
        <v>DB</v>
      </c>
      <c r="F1232" s="51">
        <v>2000</v>
      </c>
      <c r="H1232" s="51" t="e">
        <v>#N/A</v>
      </c>
    </row>
    <row r="1233" spans="1:8">
      <c r="A1233" s="101" t="s">
        <v>2791</v>
      </c>
      <c r="B1233" s="58" t="s">
        <v>861</v>
      </c>
      <c r="C1233" s="102" t="s">
        <v>2792</v>
      </c>
      <c r="D1233" s="103" t="s">
        <v>2793</v>
      </c>
      <c r="E1233" s="60" t="str">
        <f ca="1" t="shared" si="19"/>
        <v>Ho</v>
      </c>
      <c r="F1233" s="51">
        <v>50</v>
      </c>
      <c r="G1233" s="51" t="s">
        <v>28</v>
      </c>
      <c r="H1233" s="51">
        <v>0</v>
      </c>
    </row>
    <row r="1234" spans="1:8">
      <c r="A1234" s="101" t="s">
        <v>2794</v>
      </c>
      <c r="B1234" s="58"/>
      <c r="C1234" s="102" t="s">
        <v>2795</v>
      </c>
      <c r="D1234" s="103" t="s">
        <v>27</v>
      </c>
      <c r="E1234" s="60" t="str">
        <f ca="1" t="shared" si="19"/>
        <v>CC</v>
      </c>
      <c r="F1234" s="51">
        <v>50</v>
      </c>
      <c r="G1234" s="51" t="s">
        <v>28</v>
      </c>
      <c r="H1234" s="51" t="s">
        <v>27</v>
      </c>
    </row>
    <row r="1235" spans="1:8">
      <c r="A1235" s="101" t="s">
        <v>2796</v>
      </c>
      <c r="B1235" s="58"/>
      <c r="C1235" s="102" t="s">
        <v>2797</v>
      </c>
      <c r="D1235" s="103" t="s">
        <v>57</v>
      </c>
      <c r="E1235" s="60" t="str">
        <f ca="1" t="shared" si="19"/>
        <v>CC</v>
      </c>
      <c r="F1235" s="51">
        <v>50</v>
      </c>
      <c r="G1235" s="51" t="s">
        <v>28</v>
      </c>
      <c r="H1235" s="51">
        <v>0</v>
      </c>
    </row>
    <row r="1236" spans="1:8">
      <c r="A1236" s="101" t="s">
        <v>2798</v>
      </c>
      <c r="B1236" s="58"/>
      <c r="C1236" s="102" t="s">
        <v>2799</v>
      </c>
      <c r="D1236" s="103" t="s">
        <v>27</v>
      </c>
      <c r="E1236" s="60" t="str">
        <f ca="1" t="shared" si="19"/>
        <v>CC</v>
      </c>
      <c r="F1236" s="51">
        <v>50</v>
      </c>
      <c r="G1236" s="51" t="s">
        <v>28</v>
      </c>
      <c r="H1236" s="51" t="s">
        <v>27</v>
      </c>
    </row>
    <row r="1237" spans="1:8">
      <c r="A1237" s="101" t="s">
        <v>2800</v>
      </c>
      <c r="B1237" s="58"/>
      <c r="C1237" s="102" t="s">
        <v>2801</v>
      </c>
      <c r="D1237" s="103" t="s">
        <v>27</v>
      </c>
      <c r="E1237" s="60" t="str">
        <f ca="1" t="shared" si="19"/>
        <v>CC</v>
      </c>
      <c r="F1237" s="51">
        <v>50</v>
      </c>
      <c r="G1237" s="51" t="s">
        <v>28</v>
      </c>
      <c r="H1237" s="51">
        <v>0</v>
      </c>
    </row>
    <row r="1238" spans="1:8">
      <c r="A1238" s="101" t="s">
        <v>2802</v>
      </c>
      <c r="B1238" s="58"/>
      <c r="C1238" s="102" t="s">
        <v>2803</v>
      </c>
      <c r="D1238" s="103" t="s">
        <v>57</v>
      </c>
      <c r="E1238" s="60" t="str">
        <f ca="1" t="shared" si="19"/>
        <v>TD</v>
      </c>
      <c r="F1238" s="51">
        <v>50</v>
      </c>
      <c r="G1238" s="51" t="s">
        <v>28</v>
      </c>
      <c r="H1238" s="51">
        <v>0</v>
      </c>
    </row>
    <row r="1239" spans="1:8">
      <c r="A1239" s="101" t="s">
        <v>2804</v>
      </c>
      <c r="B1239" s="115" t="s">
        <v>1195</v>
      </c>
      <c r="C1239" s="69" t="s">
        <v>2805</v>
      </c>
      <c r="D1239" s="103" t="s">
        <v>1176</v>
      </c>
      <c r="E1239" s="60" t="str">
        <f ca="1" t="shared" si="19"/>
        <v>PK</v>
      </c>
      <c r="F1239" s="51">
        <v>2000</v>
      </c>
      <c r="H1239" s="51">
        <v>0</v>
      </c>
    </row>
    <row r="1240" spans="1:8">
      <c r="A1240" s="101" t="s">
        <v>2806</v>
      </c>
      <c r="B1240" s="115" t="s">
        <v>1239</v>
      </c>
      <c r="C1240" s="69" t="s">
        <v>1240</v>
      </c>
      <c r="D1240" s="103" t="s">
        <v>1176</v>
      </c>
      <c r="E1240" s="60" t="str">
        <f ca="1" t="shared" si="19"/>
        <v>DA</v>
      </c>
      <c r="F1240" s="51">
        <v>2000</v>
      </c>
      <c r="H1240" s="51">
        <v>0</v>
      </c>
    </row>
    <row r="1241" spans="1:8">
      <c r="A1241" s="101" t="s">
        <v>2807</v>
      </c>
      <c r="B1241" s="115" t="s">
        <v>1275</v>
      </c>
      <c r="C1241" s="69" t="s">
        <v>2808</v>
      </c>
      <c r="D1241" s="103" t="s">
        <v>1176</v>
      </c>
      <c r="E1241" s="60" t="str">
        <f ca="1" t="shared" si="19"/>
        <v>DC</v>
      </c>
      <c r="F1241" s="51">
        <v>2000</v>
      </c>
      <c r="H1241" s="51">
        <v>0</v>
      </c>
    </row>
    <row r="1242" spans="1:8">
      <c r="A1242" s="101" t="s">
        <v>2809</v>
      </c>
      <c r="B1242" s="115" t="s">
        <v>1227</v>
      </c>
      <c r="C1242" s="69" t="s">
        <v>1371</v>
      </c>
      <c r="D1242" s="103" t="s">
        <v>1176</v>
      </c>
      <c r="E1242" s="60" t="str">
        <f ca="1" t="shared" si="19"/>
        <v>TH</v>
      </c>
      <c r="F1242" s="51">
        <v>2000</v>
      </c>
      <c r="H1242" s="51">
        <v>0.19305</v>
      </c>
    </row>
    <row r="1243" spans="1:8">
      <c r="A1243" s="101" t="s">
        <v>2810</v>
      </c>
      <c r="B1243" s="115" t="s">
        <v>1311</v>
      </c>
      <c r="C1243" s="69" t="s">
        <v>1312</v>
      </c>
      <c r="D1243" s="103" t="s">
        <v>1176</v>
      </c>
      <c r="E1243" s="60" t="str">
        <f ca="1" t="shared" si="19"/>
        <v>XI</v>
      </c>
      <c r="F1243" s="51">
        <v>2000</v>
      </c>
      <c r="H1243" s="51">
        <v>0.4</v>
      </c>
    </row>
    <row r="1244" spans="1:8">
      <c r="A1244" s="101" t="s">
        <v>2811</v>
      </c>
      <c r="B1244" s="115" t="s">
        <v>1359</v>
      </c>
      <c r="C1244" s="69" t="s">
        <v>1360</v>
      </c>
      <c r="D1244" s="103" t="s">
        <v>600</v>
      </c>
      <c r="E1244" s="60" t="str">
        <f ca="1" t="shared" si="19"/>
        <v>vc</v>
      </c>
      <c r="F1244" s="51">
        <v>2000</v>
      </c>
      <c r="H1244" s="51" t="e">
        <v>#N/A</v>
      </c>
    </row>
    <row r="1245" spans="1:8">
      <c r="A1245" s="101" t="s">
        <v>2812</v>
      </c>
      <c r="B1245" s="115" t="s">
        <v>1323</v>
      </c>
      <c r="C1245" s="69" t="s">
        <v>1324</v>
      </c>
      <c r="D1245" s="103" t="s">
        <v>600</v>
      </c>
      <c r="E1245" s="60" t="str">
        <f ca="1" t="shared" si="19"/>
        <v>DA</v>
      </c>
      <c r="F1245" s="51">
        <v>2000</v>
      </c>
      <c r="H1245" s="51">
        <v>0</v>
      </c>
    </row>
    <row r="1246" spans="1:8">
      <c r="A1246" s="101" t="s">
        <v>2813</v>
      </c>
      <c r="B1246" s="115" t="s">
        <v>1174</v>
      </c>
      <c r="C1246" s="69" t="s">
        <v>1175</v>
      </c>
      <c r="D1246" s="103" t="s">
        <v>1176</v>
      </c>
      <c r="E1246" s="60" t="str">
        <f ca="1" t="shared" si="19"/>
        <v>DA</v>
      </c>
      <c r="F1246" s="51">
        <v>2000</v>
      </c>
      <c r="H1246" s="51">
        <v>0</v>
      </c>
    </row>
    <row r="1247" spans="1:8">
      <c r="A1247" s="101" t="s">
        <v>2814</v>
      </c>
      <c r="B1247" s="115" t="s">
        <v>1227</v>
      </c>
      <c r="C1247" s="69" t="s">
        <v>1228</v>
      </c>
      <c r="D1247" s="103" t="s">
        <v>1176</v>
      </c>
      <c r="E1247" s="60" t="str">
        <f ca="1" t="shared" si="19"/>
        <v>TD</v>
      </c>
      <c r="F1247" s="51">
        <v>2000</v>
      </c>
      <c r="H1247" s="51">
        <v>0</v>
      </c>
    </row>
    <row r="1248" spans="1:8">
      <c r="A1248" s="101" t="s">
        <v>2815</v>
      </c>
      <c r="B1248" s="115" t="s">
        <v>1174</v>
      </c>
      <c r="C1248" s="69" t="s">
        <v>1187</v>
      </c>
      <c r="D1248" s="103" t="s">
        <v>1176</v>
      </c>
      <c r="E1248" s="60" t="str">
        <f ca="1" t="shared" si="19"/>
        <v>DN</v>
      </c>
      <c r="F1248" s="51">
        <v>2000</v>
      </c>
      <c r="H1248" s="51">
        <v>0.087</v>
      </c>
    </row>
    <row r="1249" spans="1:8">
      <c r="A1249" s="101" t="s">
        <v>2816</v>
      </c>
      <c r="B1249" s="115" t="s">
        <v>1195</v>
      </c>
      <c r="C1249" s="69" t="s">
        <v>1196</v>
      </c>
      <c r="D1249" s="103" t="s">
        <v>1176</v>
      </c>
      <c r="E1249" s="60" t="str">
        <f ca="1" t="shared" si="19"/>
        <v>vc</v>
      </c>
      <c r="F1249" s="51">
        <v>2000</v>
      </c>
      <c r="H1249" s="51" t="e">
        <v>#N/A</v>
      </c>
    </row>
    <row r="1250" spans="1:8">
      <c r="A1250" s="101" t="s">
        <v>2817</v>
      </c>
      <c r="B1250" s="115" t="s">
        <v>1207</v>
      </c>
      <c r="C1250" s="69" t="s">
        <v>1208</v>
      </c>
      <c r="D1250" s="103" t="s">
        <v>1176</v>
      </c>
      <c r="E1250" s="60" t="str">
        <f ca="1" t="shared" si="19"/>
        <v>CO</v>
      </c>
      <c r="F1250" s="51">
        <v>2000</v>
      </c>
      <c r="H1250" s="51">
        <v>0.2</v>
      </c>
    </row>
    <row r="1251" spans="1:8">
      <c r="A1251" s="101" t="s">
        <v>2818</v>
      </c>
      <c r="B1251" s="115" t="s">
        <v>1263</v>
      </c>
      <c r="C1251" s="69" t="s">
        <v>1264</v>
      </c>
      <c r="D1251" s="103" t="s">
        <v>1176</v>
      </c>
      <c r="E1251" s="60" t="str">
        <f ca="1" t="shared" si="19"/>
        <v>XA</v>
      </c>
      <c r="F1251" s="51">
        <v>2000</v>
      </c>
      <c r="H1251" s="51">
        <v>0</v>
      </c>
    </row>
    <row r="1252" spans="1:8">
      <c r="A1252" s="101" t="s">
        <v>2819</v>
      </c>
      <c r="B1252" s="115" t="s">
        <v>1299</v>
      </c>
      <c r="C1252" s="69" t="s">
        <v>1300</v>
      </c>
      <c r="D1252" s="103" t="s">
        <v>213</v>
      </c>
      <c r="E1252" s="60" t="str">
        <f ca="1" t="shared" si="19"/>
        <v>ct</v>
      </c>
      <c r="F1252" s="51">
        <v>2000</v>
      </c>
      <c r="H1252" s="51">
        <v>42</v>
      </c>
    </row>
    <row r="1253" spans="8:8">
      <c r="H1253" s="51">
        <v>0</v>
      </c>
    </row>
    <row r="1254" spans="8:8">
      <c r="H1254" s="51">
        <v>0</v>
      </c>
    </row>
    <row r="1255" spans="1:8">
      <c r="A1255" s="52" t="s">
        <v>2820</v>
      </c>
      <c r="C1255" s="52" t="s">
        <v>2821</v>
      </c>
      <c r="D1255" s="51" t="s">
        <v>2822</v>
      </c>
      <c r="F1255" s="51">
        <v>2000</v>
      </c>
      <c r="H1255" s="51" t="s">
        <v>2823</v>
      </c>
    </row>
    <row r="1256" spans="1:8">
      <c r="A1256" s="52" t="s">
        <v>2824</v>
      </c>
      <c r="C1256" s="52" t="s">
        <v>2825</v>
      </c>
      <c r="D1256" s="51" t="s">
        <v>2822</v>
      </c>
      <c r="F1256" s="51">
        <v>2000</v>
      </c>
      <c r="H1256" s="51" t="s">
        <v>2823</v>
      </c>
    </row>
    <row r="1257" spans="1:8">
      <c r="A1257" s="52" t="s">
        <v>2826</v>
      </c>
      <c r="C1257" s="52" t="s">
        <v>2827</v>
      </c>
      <c r="D1257" s="51" t="s">
        <v>2822</v>
      </c>
      <c r="F1257" s="51">
        <v>2000</v>
      </c>
      <c r="H1257" s="51" t="s">
        <v>2823</v>
      </c>
    </row>
    <row r="1258" spans="1:8">
      <c r="A1258" s="52" t="s">
        <v>2828</v>
      </c>
      <c r="C1258" s="52" t="s">
        <v>2829</v>
      </c>
      <c r="D1258" s="51" t="s">
        <v>2822</v>
      </c>
      <c r="F1258" s="51">
        <v>2000</v>
      </c>
      <c r="H1258" s="51" t="s">
        <v>2823</v>
      </c>
    </row>
    <row r="1259" spans="1:8">
      <c r="A1259" s="52" t="s">
        <v>2830</v>
      </c>
      <c r="C1259" s="52" t="s">
        <v>2831</v>
      </c>
      <c r="D1259" s="51" t="s">
        <v>2822</v>
      </c>
      <c r="F1259" s="51">
        <v>2000</v>
      </c>
      <c r="H1259" s="51" t="s">
        <v>2823</v>
      </c>
    </row>
    <row r="1260" spans="1:8">
      <c r="A1260" s="52" t="s">
        <v>2832</v>
      </c>
      <c r="C1260" s="52" t="s">
        <v>2833</v>
      </c>
      <c r="D1260" s="51" t="s">
        <v>2822</v>
      </c>
      <c r="F1260" s="51">
        <v>2000</v>
      </c>
      <c r="H1260" s="51" t="s">
        <v>2823</v>
      </c>
    </row>
    <row r="1261" spans="1:8">
      <c r="A1261" s="52" t="s">
        <v>2834</v>
      </c>
      <c r="C1261" s="52" t="s">
        <v>2835</v>
      </c>
      <c r="D1261" s="51" t="s">
        <v>2822</v>
      </c>
      <c r="F1261" s="51">
        <v>2000</v>
      </c>
      <c r="H1261" s="51" t="s">
        <v>2823</v>
      </c>
    </row>
    <row r="1262" spans="1:8">
      <c r="A1262" s="52" t="s">
        <v>2836</v>
      </c>
      <c r="C1262" s="52" t="s">
        <v>2837</v>
      </c>
      <c r="D1262" s="51" t="s">
        <v>2822</v>
      </c>
      <c r="F1262" s="51">
        <v>2000</v>
      </c>
      <c r="H1262" s="51" t="s">
        <v>2823</v>
      </c>
    </row>
    <row r="1263" spans="1:8">
      <c r="A1263" s="52" t="s">
        <v>2838</v>
      </c>
      <c r="C1263" s="52" t="s">
        <v>2839</v>
      </c>
      <c r="D1263" s="51" t="s">
        <v>2822</v>
      </c>
      <c r="F1263" s="51">
        <v>2000</v>
      </c>
      <c r="H1263" s="51" t="s">
        <v>2823</v>
      </c>
    </row>
    <row r="1264" spans="1:8">
      <c r="A1264" s="52" t="s">
        <v>2840</v>
      </c>
      <c r="C1264" s="52" t="s">
        <v>2841</v>
      </c>
      <c r="D1264" s="51" t="s">
        <v>2822</v>
      </c>
      <c r="F1264" s="51">
        <v>2000</v>
      </c>
      <c r="H1264" s="51" t="s">
        <v>2823</v>
      </c>
    </row>
    <row r="1265" spans="1:8">
      <c r="A1265" s="52" t="s">
        <v>2842</v>
      </c>
      <c r="C1265" s="52" t="s">
        <v>2843</v>
      </c>
      <c r="D1265" s="51" t="s">
        <v>2822</v>
      </c>
      <c r="F1265" s="51">
        <v>2000</v>
      </c>
      <c r="H1265" s="51" t="s">
        <v>2823</v>
      </c>
    </row>
    <row r="1266" spans="1:8">
      <c r="A1266" s="52" t="s">
        <v>2844</v>
      </c>
      <c r="C1266" s="52" t="s">
        <v>2845</v>
      </c>
      <c r="D1266" s="51" t="s">
        <v>2822</v>
      </c>
      <c r="F1266" s="51">
        <v>2000</v>
      </c>
      <c r="H1266" s="51" t="s">
        <v>2823</v>
      </c>
    </row>
    <row r="1267" spans="1:8">
      <c r="A1267" s="52" t="s">
        <v>2846</v>
      </c>
      <c r="C1267" s="52" t="s">
        <v>2847</v>
      </c>
      <c r="D1267" s="51" t="s">
        <v>2822</v>
      </c>
      <c r="F1267" s="51">
        <v>2000</v>
      </c>
      <c r="H1267" s="51" t="s">
        <v>2823</v>
      </c>
    </row>
    <row r="1268" spans="1:8">
      <c r="A1268" s="52" t="s">
        <v>2848</v>
      </c>
      <c r="C1268" s="52" t="s">
        <v>2849</v>
      </c>
      <c r="D1268" s="51" t="s">
        <v>2822</v>
      </c>
      <c r="F1268" s="51">
        <v>2000</v>
      </c>
      <c r="H1268" s="51" t="s">
        <v>2823</v>
      </c>
    </row>
    <row r="1269" spans="1:8">
      <c r="A1269" s="52" t="s">
        <v>2850</v>
      </c>
      <c r="C1269" s="52" t="s">
        <v>2851</v>
      </c>
      <c r="D1269" s="51" t="s">
        <v>2822</v>
      </c>
      <c r="F1269" s="51">
        <v>2000</v>
      </c>
      <c r="H1269" s="51" t="s">
        <v>2823</v>
      </c>
    </row>
    <row r="1270" spans="1:8">
      <c r="A1270" s="52" t="s">
        <v>2852</v>
      </c>
      <c r="C1270" s="52" t="s">
        <v>2853</v>
      </c>
      <c r="D1270" s="51" t="s">
        <v>2822</v>
      </c>
      <c r="F1270" s="51">
        <v>2000</v>
      </c>
      <c r="H1270" s="51" t="s">
        <v>2823</v>
      </c>
    </row>
    <row r="1271" spans="1:8">
      <c r="A1271" s="52" t="s">
        <v>2854</v>
      </c>
      <c r="C1271" s="52" t="s">
        <v>2855</v>
      </c>
      <c r="D1271" s="51" t="s">
        <v>2822</v>
      </c>
      <c r="F1271" s="51">
        <v>2000</v>
      </c>
      <c r="H1271" s="51" t="s">
        <v>2823</v>
      </c>
    </row>
    <row r="1272" spans="1:8">
      <c r="A1272" s="52" t="s">
        <v>2856</v>
      </c>
      <c r="C1272" s="52" t="s">
        <v>2857</v>
      </c>
      <c r="D1272" s="51" t="s">
        <v>2822</v>
      </c>
      <c r="F1272" s="51">
        <v>2000</v>
      </c>
      <c r="H1272" s="51" t="s">
        <v>2823</v>
      </c>
    </row>
    <row r="1273" spans="1:8">
      <c r="A1273" s="52" t="s">
        <v>2858</v>
      </c>
      <c r="C1273" s="52" t="s">
        <v>2859</v>
      </c>
      <c r="D1273" s="51" t="s">
        <v>2822</v>
      </c>
      <c r="F1273" s="51">
        <v>2000</v>
      </c>
      <c r="H1273" s="51" t="s">
        <v>2823</v>
      </c>
    </row>
    <row r="1274" spans="1:8">
      <c r="A1274" s="52" t="s">
        <v>2860</v>
      </c>
      <c r="C1274" s="52" t="s">
        <v>2861</v>
      </c>
      <c r="D1274" s="51" t="s">
        <v>2822</v>
      </c>
      <c r="F1274" s="51">
        <v>2000</v>
      </c>
      <c r="H1274" s="51" t="s">
        <v>2823</v>
      </c>
    </row>
    <row r="1275" spans="1:8">
      <c r="A1275" s="52" t="s">
        <v>2862</v>
      </c>
      <c r="C1275" s="52" t="s">
        <v>2863</v>
      </c>
      <c r="D1275" s="51" t="s">
        <v>2822</v>
      </c>
      <c r="F1275" s="51">
        <v>2000</v>
      </c>
      <c r="H1275" s="51" t="s">
        <v>2823</v>
      </c>
    </row>
    <row r="1276" spans="1:8">
      <c r="A1276" s="52" t="s">
        <v>2864</v>
      </c>
      <c r="C1276" s="52" t="s">
        <v>2865</v>
      </c>
      <c r="D1276" s="51" t="s">
        <v>2822</v>
      </c>
      <c r="F1276" s="51">
        <v>2000</v>
      </c>
      <c r="H1276" s="51" t="s">
        <v>2823</v>
      </c>
    </row>
    <row r="1277" spans="1:8">
      <c r="A1277" s="52" t="s">
        <v>2866</v>
      </c>
      <c r="C1277" s="52" t="s">
        <v>2867</v>
      </c>
      <c r="D1277" s="51" t="s">
        <v>2822</v>
      </c>
      <c r="F1277" s="51">
        <v>2000</v>
      </c>
      <c r="H1277" s="51" t="s">
        <v>2823</v>
      </c>
    </row>
    <row r="1278" spans="1:8">
      <c r="A1278" s="52" t="s">
        <v>2868</v>
      </c>
      <c r="C1278" s="52" t="s">
        <v>2869</v>
      </c>
      <c r="D1278" s="51" t="s">
        <v>2822</v>
      </c>
      <c r="F1278" s="51">
        <v>2000</v>
      </c>
      <c r="H1278" s="51" t="s">
        <v>2823</v>
      </c>
    </row>
    <row r="1279" spans="1:8">
      <c r="A1279" s="52" t="s">
        <v>2870</v>
      </c>
      <c r="C1279" s="52" t="s">
        <v>2871</v>
      </c>
      <c r="D1279" s="51" t="s">
        <v>2822</v>
      </c>
      <c r="F1279" s="51">
        <v>2000</v>
      </c>
      <c r="H1279" s="51" t="s">
        <v>2823</v>
      </c>
    </row>
    <row r="1280" spans="1:8">
      <c r="A1280" s="52" t="s">
        <v>2872</v>
      </c>
      <c r="C1280" s="52" t="s">
        <v>2873</v>
      </c>
      <c r="D1280" s="51" t="s">
        <v>2822</v>
      </c>
      <c r="F1280" s="51">
        <v>2000</v>
      </c>
      <c r="H1280" s="51" t="s">
        <v>2823</v>
      </c>
    </row>
    <row r="1281" spans="1:8">
      <c r="A1281" s="52" t="s">
        <v>2874</v>
      </c>
      <c r="C1281" s="52" t="s">
        <v>2875</v>
      </c>
      <c r="D1281" s="51" t="s">
        <v>2822</v>
      </c>
      <c r="F1281" s="51">
        <v>2000</v>
      </c>
      <c r="H1281" s="51" t="s">
        <v>2823</v>
      </c>
    </row>
    <row r="1282" spans="1:8">
      <c r="A1282" s="52" t="s">
        <v>2876</v>
      </c>
      <c r="C1282" s="52" t="s">
        <v>2877</v>
      </c>
      <c r="D1282" s="51" t="s">
        <v>2822</v>
      </c>
      <c r="F1282" s="51">
        <v>2000</v>
      </c>
      <c r="H1282" s="51" t="s">
        <v>2823</v>
      </c>
    </row>
    <row r="1283" spans="1:8">
      <c r="A1283" s="52" t="s">
        <v>2878</v>
      </c>
      <c r="C1283" s="52" t="s">
        <v>2879</v>
      </c>
      <c r="D1283" s="51" t="s">
        <v>2822</v>
      </c>
      <c r="F1283" s="51">
        <v>2000</v>
      </c>
      <c r="H1283" s="51" t="s">
        <v>2823</v>
      </c>
    </row>
    <row r="1284" spans="1:8">
      <c r="A1284" s="52" t="s">
        <v>2880</v>
      </c>
      <c r="C1284" s="52" t="s">
        <v>2881</v>
      </c>
      <c r="D1284" s="51" t="s">
        <v>2822</v>
      </c>
      <c r="F1284" s="51">
        <v>2000</v>
      </c>
      <c r="H1284" s="51" t="s">
        <v>2823</v>
      </c>
    </row>
    <row r="1285" spans="1:8">
      <c r="A1285" s="52" t="s">
        <v>2882</v>
      </c>
      <c r="C1285" s="52" t="s">
        <v>2883</v>
      </c>
      <c r="D1285" s="51" t="s">
        <v>2822</v>
      </c>
      <c r="F1285" s="51">
        <v>2000</v>
      </c>
      <c r="H1285" s="51" t="s">
        <v>2823</v>
      </c>
    </row>
    <row r="1286" spans="1:8">
      <c r="A1286" s="52" t="s">
        <v>2884</v>
      </c>
      <c r="C1286" s="52" t="s">
        <v>2885</v>
      </c>
      <c r="D1286" s="51" t="s">
        <v>2822</v>
      </c>
      <c r="F1286" s="51">
        <v>2000</v>
      </c>
      <c r="H1286" s="51" t="s">
        <v>2823</v>
      </c>
    </row>
    <row r="1287" spans="1:8">
      <c r="A1287" s="52" t="s">
        <v>2886</v>
      </c>
      <c r="C1287" s="52" t="s">
        <v>2887</v>
      </c>
      <c r="D1287" s="51" t="s">
        <v>2822</v>
      </c>
      <c r="F1287" s="51">
        <v>2000</v>
      </c>
      <c r="H1287" s="51" t="s">
        <v>2823</v>
      </c>
    </row>
    <row r="1288" spans="1:8">
      <c r="A1288" s="52" t="s">
        <v>2888</v>
      </c>
      <c r="C1288" s="52" t="s">
        <v>2889</v>
      </c>
      <c r="D1288" s="51" t="s">
        <v>2822</v>
      </c>
      <c r="F1288" s="51">
        <v>2000</v>
      </c>
      <c r="H1288" s="51" t="s">
        <v>2823</v>
      </c>
    </row>
    <row r="1289" spans="1:8">
      <c r="A1289" s="52" t="s">
        <v>2890</v>
      </c>
      <c r="C1289" s="52" t="s">
        <v>2891</v>
      </c>
      <c r="D1289" s="51" t="s">
        <v>2822</v>
      </c>
      <c r="F1289" s="51">
        <v>2000</v>
      </c>
      <c r="H1289" s="51" t="s">
        <v>2823</v>
      </c>
    </row>
    <row r="1290" spans="1:8">
      <c r="A1290" s="52" t="s">
        <v>2892</v>
      </c>
      <c r="C1290" s="52" t="s">
        <v>2893</v>
      </c>
      <c r="D1290" s="51" t="s">
        <v>2822</v>
      </c>
      <c r="F1290" s="51">
        <v>2000</v>
      </c>
      <c r="H1290" s="51" t="s">
        <v>2823</v>
      </c>
    </row>
    <row r="1291" spans="1:8">
      <c r="A1291" s="52" t="s">
        <v>2894</v>
      </c>
      <c r="C1291" s="52" t="s">
        <v>2895</v>
      </c>
      <c r="D1291" s="51" t="s">
        <v>2822</v>
      </c>
      <c r="F1291" s="51">
        <v>2000</v>
      </c>
      <c r="H1291" s="51" t="s">
        <v>2823</v>
      </c>
    </row>
    <row r="1292" spans="1:8">
      <c r="A1292" s="52" t="s">
        <v>2896</v>
      </c>
      <c r="C1292" s="52" t="s">
        <v>2897</v>
      </c>
      <c r="D1292" s="51" t="s">
        <v>2822</v>
      </c>
      <c r="F1292" s="51">
        <v>2000</v>
      </c>
      <c r="H1292" s="51" t="s">
        <v>2823</v>
      </c>
    </row>
    <row r="1293" spans="1:8">
      <c r="A1293" s="52" t="s">
        <v>2898</v>
      </c>
      <c r="C1293" s="52" t="s">
        <v>2899</v>
      </c>
      <c r="D1293" s="51" t="s">
        <v>2822</v>
      </c>
      <c r="F1293" s="51">
        <v>2000</v>
      </c>
      <c r="H1293" s="51" t="s">
        <v>2823</v>
      </c>
    </row>
    <row r="1294" spans="1:8">
      <c r="A1294" s="52" t="s">
        <v>2900</v>
      </c>
      <c r="C1294" s="52" t="s">
        <v>2901</v>
      </c>
      <c r="D1294" s="51" t="s">
        <v>2822</v>
      </c>
      <c r="F1294" s="51">
        <v>2000</v>
      </c>
      <c r="H1294" s="51" t="s">
        <v>2823</v>
      </c>
    </row>
    <row r="1295" spans="1:8">
      <c r="A1295" s="52" t="s">
        <v>2902</v>
      </c>
      <c r="C1295" s="52" t="s">
        <v>2903</v>
      </c>
      <c r="D1295" s="51" t="s">
        <v>2822</v>
      </c>
      <c r="F1295" s="51">
        <v>2000</v>
      </c>
      <c r="H1295" s="51" t="s">
        <v>2823</v>
      </c>
    </row>
    <row r="1296" spans="1:8">
      <c r="A1296" s="52" t="s">
        <v>2904</v>
      </c>
      <c r="C1296" s="52" t="s">
        <v>2905</v>
      </c>
      <c r="D1296" s="51" t="s">
        <v>2822</v>
      </c>
      <c r="F1296" s="51">
        <v>2000</v>
      </c>
      <c r="H1296" s="51" t="s">
        <v>2823</v>
      </c>
    </row>
    <row r="1297" spans="1:8">
      <c r="A1297" s="52" t="s">
        <v>2906</v>
      </c>
      <c r="C1297" s="52" t="s">
        <v>2907</v>
      </c>
      <c r="D1297" s="51" t="s">
        <v>2822</v>
      </c>
      <c r="F1297" s="51">
        <v>2000</v>
      </c>
      <c r="H1297" s="51" t="s">
        <v>2823</v>
      </c>
    </row>
    <row r="1298" spans="1:8">
      <c r="A1298" s="52" t="s">
        <v>2908</v>
      </c>
      <c r="C1298" s="52" t="s">
        <v>2909</v>
      </c>
      <c r="D1298" s="51" t="s">
        <v>2822</v>
      </c>
      <c r="F1298" s="51">
        <v>2000</v>
      </c>
      <c r="H1298" s="51" t="s">
        <v>2823</v>
      </c>
    </row>
    <row r="1299" spans="1:8">
      <c r="A1299" s="52" t="s">
        <v>2910</v>
      </c>
      <c r="C1299" s="52" t="s">
        <v>2911</v>
      </c>
      <c r="D1299" s="51" t="s">
        <v>2822</v>
      </c>
      <c r="F1299" s="51">
        <v>2000</v>
      </c>
      <c r="H1299" s="51" t="s">
        <v>2823</v>
      </c>
    </row>
    <row r="1300" spans="1:8">
      <c r="A1300" s="52" t="s">
        <v>2912</v>
      </c>
      <c r="C1300" s="52" t="s">
        <v>2913</v>
      </c>
      <c r="D1300" s="51" t="s">
        <v>2822</v>
      </c>
      <c r="F1300" s="51">
        <v>2000</v>
      </c>
      <c r="H1300" s="51" t="s">
        <v>2823</v>
      </c>
    </row>
    <row r="1301" spans="1:8">
      <c r="A1301" s="52" t="s">
        <v>2914</v>
      </c>
      <c r="C1301" s="52" t="s">
        <v>2915</v>
      </c>
      <c r="D1301" s="51" t="s">
        <v>2822</v>
      </c>
      <c r="F1301" s="51">
        <v>2000</v>
      </c>
      <c r="H1301" s="51" t="s">
        <v>2823</v>
      </c>
    </row>
    <row r="1302" spans="1:8">
      <c r="A1302" s="52" t="s">
        <v>2916</v>
      </c>
      <c r="C1302" s="52" t="s">
        <v>2917</v>
      </c>
      <c r="D1302" s="51" t="s">
        <v>2822</v>
      </c>
      <c r="F1302" s="51">
        <v>2000</v>
      </c>
      <c r="H1302" s="51" t="s">
        <v>2823</v>
      </c>
    </row>
    <row r="1303" spans="1:8">
      <c r="A1303" s="52" t="s">
        <v>2918</v>
      </c>
      <c r="C1303" s="52" t="s">
        <v>2919</v>
      </c>
      <c r="D1303" s="51" t="s">
        <v>2822</v>
      </c>
      <c r="F1303" s="51">
        <v>2000</v>
      </c>
      <c r="H1303" s="51" t="s">
        <v>2823</v>
      </c>
    </row>
    <row r="1304" spans="1:8">
      <c r="A1304" s="52" t="s">
        <v>2920</v>
      </c>
      <c r="C1304" s="52" t="s">
        <v>2921</v>
      </c>
      <c r="D1304" s="51" t="s">
        <v>2822</v>
      </c>
      <c r="F1304" s="51">
        <v>2000</v>
      </c>
      <c r="H1304" s="51" t="s">
        <v>2823</v>
      </c>
    </row>
    <row r="1305" spans="1:8">
      <c r="A1305" s="52" t="s">
        <v>2922</v>
      </c>
      <c r="C1305" s="52" t="s">
        <v>2923</v>
      </c>
      <c r="D1305" s="51" t="s">
        <v>2822</v>
      </c>
      <c r="F1305" s="51">
        <v>2000</v>
      </c>
      <c r="H1305" s="51" t="s">
        <v>2823</v>
      </c>
    </row>
    <row r="1306" spans="1:8">
      <c r="A1306" s="52" t="s">
        <v>2924</v>
      </c>
      <c r="C1306" s="52" t="s">
        <v>2925</v>
      </c>
      <c r="D1306" s="51" t="s">
        <v>2822</v>
      </c>
      <c r="F1306" s="51">
        <v>2000</v>
      </c>
      <c r="H1306" s="51" t="s">
        <v>2823</v>
      </c>
    </row>
    <row r="1307" spans="1:8">
      <c r="A1307" s="52" t="s">
        <v>2926</v>
      </c>
      <c r="C1307" s="52" t="s">
        <v>2927</v>
      </c>
      <c r="D1307" s="51" t="s">
        <v>2822</v>
      </c>
      <c r="F1307" s="51">
        <v>2000</v>
      </c>
      <c r="H1307" s="51" t="s">
        <v>2823</v>
      </c>
    </row>
    <row r="1308" spans="1:8">
      <c r="A1308" s="52" t="s">
        <v>2928</v>
      </c>
      <c r="C1308" s="52" t="s">
        <v>2929</v>
      </c>
      <c r="D1308" s="51" t="s">
        <v>2822</v>
      </c>
      <c r="F1308" s="51">
        <v>2000</v>
      </c>
      <c r="H1308" s="51" t="s">
        <v>2823</v>
      </c>
    </row>
    <row r="1309" spans="1:8">
      <c r="A1309" s="52" t="s">
        <v>2930</v>
      </c>
      <c r="C1309" s="52" t="s">
        <v>2931</v>
      </c>
      <c r="D1309" s="51" t="s">
        <v>2932</v>
      </c>
      <c r="F1309" s="51">
        <v>2000</v>
      </c>
      <c r="H1309" s="51" t="s">
        <v>2823</v>
      </c>
    </row>
    <row r="1310" spans="1:8">
      <c r="A1310" s="52" t="s">
        <v>2933</v>
      </c>
      <c r="C1310" s="52" t="s">
        <v>2934</v>
      </c>
      <c r="D1310" s="51" t="s">
        <v>2932</v>
      </c>
      <c r="F1310" s="51">
        <v>2000</v>
      </c>
      <c r="H1310" s="51" t="s">
        <v>2823</v>
      </c>
    </row>
    <row r="1311" spans="1:8">
      <c r="A1311" s="52" t="s">
        <v>2935</v>
      </c>
      <c r="C1311" s="52" t="s">
        <v>2936</v>
      </c>
      <c r="D1311" s="51" t="s">
        <v>205</v>
      </c>
      <c r="F1311" s="51">
        <v>2000</v>
      </c>
      <c r="H1311" s="51" t="s">
        <v>2823</v>
      </c>
    </row>
    <row r="1312" spans="1:8">
      <c r="A1312" s="52" t="s">
        <v>2937</v>
      </c>
      <c r="C1312" s="52" t="s">
        <v>2938</v>
      </c>
      <c r="D1312" s="51" t="s">
        <v>205</v>
      </c>
      <c r="F1312" s="51">
        <v>2000</v>
      </c>
      <c r="H1312" s="51" t="s">
        <v>2823</v>
      </c>
    </row>
    <row r="1313" spans="1:8">
      <c r="A1313" s="52" t="s">
        <v>2939</v>
      </c>
      <c r="C1313" s="52" t="s">
        <v>2940</v>
      </c>
      <c r="D1313" s="51" t="s">
        <v>205</v>
      </c>
      <c r="F1313" s="51">
        <v>2000</v>
      </c>
      <c r="H1313" s="51" t="s">
        <v>2823</v>
      </c>
    </row>
    <row r="1314" spans="1:8">
      <c r="A1314" s="52" t="s">
        <v>2941</v>
      </c>
      <c r="C1314" s="52" t="s">
        <v>2942</v>
      </c>
      <c r="D1314" s="51" t="s">
        <v>205</v>
      </c>
      <c r="F1314" s="51">
        <v>2000</v>
      </c>
      <c r="H1314" s="51" t="s">
        <v>2823</v>
      </c>
    </row>
    <row r="1315" spans="1:8">
      <c r="A1315" s="52" t="s">
        <v>2943</v>
      </c>
      <c r="C1315" s="52" t="s">
        <v>2944</v>
      </c>
      <c r="D1315" s="51" t="s">
        <v>205</v>
      </c>
      <c r="F1315" s="51">
        <v>2000</v>
      </c>
      <c r="H1315" s="51" t="s">
        <v>2823</v>
      </c>
    </row>
    <row r="1316" spans="1:8">
      <c r="A1316" s="52" t="s">
        <v>2945</v>
      </c>
      <c r="C1316" s="52" t="s">
        <v>2946</v>
      </c>
      <c r="D1316" s="51" t="s">
        <v>205</v>
      </c>
      <c r="F1316" s="51">
        <v>2000</v>
      </c>
      <c r="H1316" s="51" t="s">
        <v>2823</v>
      </c>
    </row>
    <row r="1317" spans="1:8">
      <c r="A1317" s="52" t="s">
        <v>2947</v>
      </c>
      <c r="C1317" s="52" t="s">
        <v>2948</v>
      </c>
      <c r="D1317" s="51" t="s">
        <v>205</v>
      </c>
      <c r="F1317" s="51">
        <v>2000</v>
      </c>
      <c r="H1317" s="51" t="s">
        <v>2823</v>
      </c>
    </row>
    <row r="1318" spans="1:8">
      <c r="A1318" s="52" t="s">
        <v>2949</v>
      </c>
      <c r="C1318" s="52" t="s">
        <v>2950</v>
      </c>
      <c r="D1318" s="51" t="s">
        <v>205</v>
      </c>
      <c r="F1318" s="51">
        <v>2000</v>
      </c>
      <c r="H1318" s="51" t="s">
        <v>2823</v>
      </c>
    </row>
    <row r="1319" spans="1:8">
      <c r="A1319" s="52" t="s">
        <v>2951</v>
      </c>
      <c r="C1319" s="52" t="s">
        <v>2952</v>
      </c>
      <c r="D1319" s="51" t="s">
        <v>205</v>
      </c>
      <c r="F1319" s="51">
        <v>2000</v>
      </c>
      <c r="H1319" s="51" t="s">
        <v>2823</v>
      </c>
    </row>
    <row r="1320" spans="1:8">
      <c r="A1320" s="52" t="s">
        <v>2953</v>
      </c>
      <c r="C1320" s="52" t="s">
        <v>2954</v>
      </c>
      <c r="D1320" s="51" t="s">
        <v>205</v>
      </c>
      <c r="F1320" s="51">
        <v>2000</v>
      </c>
      <c r="H1320" s="51" t="s">
        <v>2823</v>
      </c>
    </row>
    <row r="1321" spans="1:8">
      <c r="A1321" s="52" t="s">
        <v>2955</v>
      </c>
      <c r="C1321" s="52" t="s">
        <v>2956</v>
      </c>
      <c r="D1321" s="51" t="s">
        <v>205</v>
      </c>
      <c r="F1321" s="51">
        <v>2000</v>
      </c>
      <c r="H1321" s="51" t="s">
        <v>2823</v>
      </c>
    </row>
    <row r="1322" spans="1:8">
      <c r="A1322" s="52" t="s">
        <v>2957</v>
      </c>
      <c r="C1322" s="52" t="s">
        <v>2958</v>
      </c>
      <c r="D1322" s="51" t="s">
        <v>205</v>
      </c>
      <c r="F1322" s="51">
        <v>2000</v>
      </c>
      <c r="H1322" s="51" t="s">
        <v>2823</v>
      </c>
    </row>
    <row r="1323" spans="1:8">
      <c r="A1323" s="52" t="s">
        <v>2959</v>
      </c>
      <c r="C1323" s="52" t="s">
        <v>2960</v>
      </c>
      <c r="D1323" s="51" t="s">
        <v>2961</v>
      </c>
      <c r="F1323" s="51">
        <v>2000</v>
      </c>
      <c r="H1323" s="51" t="s">
        <v>2823</v>
      </c>
    </row>
    <row r="1324" spans="1:8">
      <c r="A1324" s="52" t="s">
        <v>2962</v>
      </c>
      <c r="C1324" s="52" t="s">
        <v>2963</v>
      </c>
      <c r="D1324" s="51" t="s">
        <v>2961</v>
      </c>
      <c r="F1324" s="51">
        <v>2000</v>
      </c>
      <c r="H1324" s="51" t="s">
        <v>2823</v>
      </c>
    </row>
    <row r="1325" spans="1:8">
      <c r="A1325" s="52" t="s">
        <v>2964</v>
      </c>
      <c r="C1325" s="52" t="s">
        <v>2965</v>
      </c>
      <c r="D1325" s="51" t="s">
        <v>2961</v>
      </c>
      <c r="F1325" s="51">
        <v>2000</v>
      </c>
      <c r="H1325" s="51" t="s">
        <v>2823</v>
      </c>
    </row>
    <row r="1326" spans="1:8">
      <c r="A1326" s="52" t="s">
        <v>2966</v>
      </c>
      <c r="C1326" s="52" t="s">
        <v>2967</v>
      </c>
      <c r="D1326" s="51" t="s">
        <v>2961</v>
      </c>
      <c r="F1326" s="51">
        <v>2000</v>
      </c>
      <c r="H1326" s="51" t="s">
        <v>2823</v>
      </c>
    </row>
    <row r="1327" spans="1:8">
      <c r="A1327" s="52" t="s">
        <v>2968</v>
      </c>
      <c r="C1327" s="52" t="s">
        <v>2969</v>
      </c>
      <c r="D1327" s="51" t="s">
        <v>2961</v>
      </c>
      <c r="F1327" s="51">
        <v>2000</v>
      </c>
      <c r="H1327" s="51" t="s">
        <v>2823</v>
      </c>
    </row>
    <row r="1328" spans="1:8">
      <c r="A1328" s="52" t="s">
        <v>2970</v>
      </c>
      <c r="C1328" s="52" t="s">
        <v>2971</v>
      </c>
      <c r="D1328" s="51" t="s">
        <v>2961</v>
      </c>
      <c r="F1328" s="51">
        <v>2000</v>
      </c>
      <c r="H1328" s="51" t="s">
        <v>2823</v>
      </c>
    </row>
    <row r="1329" spans="1:8">
      <c r="A1329" s="52" t="s">
        <v>2972</v>
      </c>
      <c r="C1329" s="52" t="s">
        <v>2973</v>
      </c>
      <c r="D1329" s="51" t="s">
        <v>2961</v>
      </c>
      <c r="F1329" s="51">
        <v>2000</v>
      </c>
      <c r="H1329" s="51" t="s">
        <v>2823</v>
      </c>
    </row>
    <row r="1330" spans="1:8">
      <c r="A1330" s="52" t="s">
        <v>2974</v>
      </c>
      <c r="C1330" s="52" t="s">
        <v>2975</v>
      </c>
      <c r="D1330" s="51" t="s">
        <v>2961</v>
      </c>
      <c r="F1330" s="51">
        <v>2000</v>
      </c>
      <c r="H1330" s="51" t="s">
        <v>2823</v>
      </c>
    </row>
    <row r="1331" spans="1:8">
      <c r="A1331" s="52" t="s">
        <v>2976</v>
      </c>
      <c r="C1331" s="52" t="s">
        <v>2977</v>
      </c>
      <c r="D1331" s="51" t="s">
        <v>2961</v>
      </c>
      <c r="F1331" s="51">
        <v>2000</v>
      </c>
      <c r="H1331" s="51" t="s">
        <v>2823</v>
      </c>
    </row>
    <row r="1332" spans="1:8">
      <c r="A1332" s="52" t="s">
        <v>2978</v>
      </c>
      <c r="C1332" s="52" t="s">
        <v>2979</v>
      </c>
      <c r="D1332" s="51" t="s">
        <v>2961</v>
      </c>
      <c r="F1332" s="51">
        <v>2000</v>
      </c>
      <c r="H1332" s="51" t="s">
        <v>2823</v>
      </c>
    </row>
    <row r="1333" spans="1:8">
      <c r="A1333" s="52" t="s">
        <v>2980</v>
      </c>
      <c r="C1333" s="52" t="s">
        <v>2981</v>
      </c>
      <c r="D1333" s="51" t="s">
        <v>2961</v>
      </c>
      <c r="F1333" s="51">
        <v>2000</v>
      </c>
      <c r="H1333" s="51" t="s">
        <v>2823</v>
      </c>
    </row>
    <row r="1334" spans="1:8">
      <c r="A1334" s="52" t="s">
        <v>2982</v>
      </c>
      <c r="C1334" s="52" t="s">
        <v>2983</v>
      </c>
      <c r="D1334" s="51" t="s">
        <v>2961</v>
      </c>
      <c r="F1334" s="51">
        <v>2000</v>
      </c>
      <c r="H1334" s="51" t="s">
        <v>2823</v>
      </c>
    </row>
    <row r="1335" spans="1:8">
      <c r="A1335" s="52" t="s">
        <v>2984</v>
      </c>
      <c r="C1335" s="52" t="s">
        <v>2985</v>
      </c>
      <c r="D1335" s="51" t="s">
        <v>2961</v>
      </c>
      <c r="F1335" s="51">
        <v>2000</v>
      </c>
      <c r="H1335" s="51" t="s">
        <v>2823</v>
      </c>
    </row>
    <row r="1336" spans="1:8">
      <c r="A1336" s="52" t="s">
        <v>2986</v>
      </c>
      <c r="C1336" s="52" t="s">
        <v>2987</v>
      </c>
      <c r="D1336" s="51" t="s">
        <v>2961</v>
      </c>
      <c r="F1336" s="51">
        <v>2000</v>
      </c>
      <c r="H1336" s="51" t="s">
        <v>2823</v>
      </c>
    </row>
    <row r="1337" spans="1:8">
      <c r="A1337" s="52" t="s">
        <v>2988</v>
      </c>
      <c r="C1337" s="52" t="s">
        <v>2989</v>
      </c>
      <c r="D1337" s="51" t="s">
        <v>205</v>
      </c>
      <c r="F1337" s="51">
        <v>2000</v>
      </c>
      <c r="H1337" s="51" t="s">
        <v>2823</v>
      </c>
    </row>
    <row r="1338" spans="1:8">
      <c r="A1338" s="52" t="s">
        <v>2990</v>
      </c>
      <c r="C1338" s="52" t="s">
        <v>2991</v>
      </c>
      <c r="D1338" s="51" t="s">
        <v>205</v>
      </c>
      <c r="F1338" s="51">
        <v>2000</v>
      </c>
      <c r="H1338" s="51" t="s">
        <v>2823</v>
      </c>
    </row>
    <row r="1339" spans="1:8">
      <c r="A1339" s="52" t="s">
        <v>2992</v>
      </c>
      <c r="C1339" s="52" t="s">
        <v>2993</v>
      </c>
      <c r="D1339" s="51" t="s">
        <v>205</v>
      </c>
      <c r="F1339" s="51">
        <v>2000</v>
      </c>
      <c r="H1339" s="51" t="s">
        <v>2823</v>
      </c>
    </row>
    <row r="1340" spans="1:8">
      <c r="A1340" s="52" t="s">
        <v>2994</v>
      </c>
      <c r="C1340" s="52" t="s">
        <v>2995</v>
      </c>
      <c r="D1340" s="51" t="s">
        <v>205</v>
      </c>
      <c r="F1340" s="51">
        <v>2000</v>
      </c>
      <c r="H1340" s="51" t="s">
        <v>2823</v>
      </c>
    </row>
    <row r="1341" spans="1:8">
      <c r="A1341" s="52" t="s">
        <v>2996</v>
      </c>
      <c r="C1341" s="52" t="s">
        <v>2995</v>
      </c>
      <c r="D1341" s="51" t="s">
        <v>205</v>
      </c>
      <c r="F1341" s="51">
        <v>2000</v>
      </c>
      <c r="H1341" s="51" t="s">
        <v>2823</v>
      </c>
    </row>
    <row r="1342" spans="1:8">
      <c r="A1342" s="52" t="s">
        <v>2997</v>
      </c>
      <c r="C1342" s="52" t="s">
        <v>2998</v>
      </c>
      <c r="D1342" s="51" t="s">
        <v>205</v>
      </c>
      <c r="F1342" s="51">
        <v>2000</v>
      </c>
      <c r="H1342" s="51" t="s">
        <v>2823</v>
      </c>
    </row>
    <row r="1343" spans="1:8">
      <c r="A1343" s="52" t="s">
        <v>2999</v>
      </c>
      <c r="C1343" s="52" t="s">
        <v>3000</v>
      </c>
      <c r="D1343" s="51" t="s">
        <v>205</v>
      </c>
      <c r="F1343" s="51">
        <v>2000</v>
      </c>
      <c r="H1343" s="51" t="s">
        <v>2823</v>
      </c>
    </row>
    <row r="1344" spans="1:8">
      <c r="A1344" s="52" t="s">
        <v>3001</v>
      </c>
      <c r="C1344" s="52" t="s">
        <v>3002</v>
      </c>
      <c r="D1344" s="51" t="s">
        <v>205</v>
      </c>
      <c r="F1344" s="51">
        <v>2000</v>
      </c>
      <c r="H1344" s="51" t="s">
        <v>2823</v>
      </c>
    </row>
    <row r="1345" spans="1:8">
      <c r="A1345" s="52" t="s">
        <v>3003</v>
      </c>
      <c r="C1345" s="52" t="s">
        <v>3002</v>
      </c>
      <c r="D1345" s="51" t="s">
        <v>205</v>
      </c>
      <c r="F1345" s="51">
        <v>2000</v>
      </c>
      <c r="H1345" s="51" t="s">
        <v>2823</v>
      </c>
    </row>
    <row r="1346" spans="1:8">
      <c r="A1346" s="52" t="s">
        <v>3004</v>
      </c>
      <c r="C1346" s="52" t="s">
        <v>3005</v>
      </c>
      <c r="D1346" s="51" t="s">
        <v>205</v>
      </c>
      <c r="F1346" s="51">
        <v>2000</v>
      </c>
      <c r="H1346" s="51" t="s">
        <v>2823</v>
      </c>
    </row>
    <row r="1347" spans="1:8">
      <c r="A1347" s="52" t="s">
        <v>3006</v>
      </c>
      <c r="C1347" s="52" t="s">
        <v>3007</v>
      </c>
      <c r="D1347" s="51" t="s">
        <v>205</v>
      </c>
      <c r="F1347" s="51">
        <v>2000</v>
      </c>
      <c r="H1347" s="51" t="s">
        <v>2823</v>
      </c>
    </row>
    <row r="1348" spans="1:8">
      <c r="A1348" s="52" t="s">
        <v>3008</v>
      </c>
      <c r="C1348" s="52" t="s">
        <v>3009</v>
      </c>
      <c r="D1348" s="51" t="s">
        <v>205</v>
      </c>
      <c r="F1348" s="51">
        <v>2000</v>
      </c>
      <c r="H1348" s="51" t="s">
        <v>2823</v>
      </c>
    </row>
    <row r="1349" spans="1:8">
      <c r="A1349" s="52" t="s">
        <v>3010</v>
      </c>
      <c r="C1349" s="52" t="s">
        <v>3011</v>
      </c>
      <c r="D1349" s="51" t="s">
        <v>205</v>
      </c>
      <c r="F1349" s="51">
        <v>2000</v>
      </c>
      <c r="H1349" s="51" t="s">
        <v>2823</v>
      </c>
    </row>
    <row r="1350" spans="1:8">
      <c r="A1350" s="52" t="s">
        <v>3012</v>
      </c>
      <c r="C1350" s="52" t="s">
        <v>3013</v>
      </c>
      <c r="D1350" s="51" t="s">
        <v>205</v>
      </c>
      <c r="F1350" s="51">
        <v>2000</v>
      </c>
      <c r="H1350" s="51" t="s">
        <v>2823</v>
      </c>
    </row>
    <row r="1351" spans="1:8">
      <c r="A1351" s="52" t="s">
        <v>3014</v>
      </c>
      <c r="C1351" s="52" t="s">
        <v>3015</v>
      </c>
      <c r="D1351" s="51" t="s">
        <v>205</v>
      </c>
      <c r="F1351" s="51">
        <v>2000</v>
      </c>
      <c r="H1351" s="51" t="s">
        <v>2823</v>
      </c>
    </row>
    <row r="1352" spans="1:8">
      <c r="A1352" s="52" t="s">
        <v>3016</v>
      </c>
      <c r="C1352" s="52" t="s">
        <v>3017</v>
      </c>
      <c r="D1352" s="51" t="s">
        <v>205</v>
      </c>
      <c r="F1352" s="51">
        <v>2000</v>
      </c>
      <c r="H1352" s="51" t="s">
        <v>2823</v>
      </c>
    </row>
    <row r="1353" spans="1:8">
      <c r="A1353" s="52" t="s">
        <v>3018</v>
      </c>
      <c r="C1353" s="52" t="s">
        <v>3019</v>
      </c>
      <c r="D1353" s="51" t="s">
        <v>205</v>
      </c>
      <c r="F1353" s="51">
        <v>2000</v>
      </c>
      <c r="H1353" s="51" t="s">
        <v>2823</v>
      </c>
    </row>
    <row r="1354" spans="1:8">
      <c r="A1354" s="52" t="s">
        <v>3020</v>
      </c>
      <c r="C1354" s="52" t="s">
        <v>3021</v>
      </c>
      <c r="D1354" s="51" t="s">
        <v>205</v>
      </c>
      <c r="F1354" s="51">
        <v>2000</v>
      </c>
      <c r="H1354" s="51" t="s">
        <v>2823</v>
      </c>
    </row>
    <row r="1355" spans="1:8">
      <c r="A1355" s="52" t="s">
        <v>3022</v>
      </c>
      <c r="C1355" s="52" t="s">
        <v>3023</v>
      </c>
      <c r="D1355" s="51" t="s">
        <v>205</v>
      </c>
      <c r="F1355" s="51">
        <v>2000</v>
      </c>
      <c r="H1355" s="51" t="s">
        <v>2823</v>
      </c>
    </row>
    <row r="1356" spans="1:8">
      <c r="A1356" s="52" t="s">
        <v>3024</v>
      </c>
      <c r="C1356" s="52" t="s">
        <v>3025</v>
      </c>
      <c r="D1356" s="51" t="s">
        <v>205</v>
      </c>
      <c r="F1356" s="51">
        <v>2000</v>
      </c>
      <c r="H1356" s="51" t="s">
        <v>2823</v>
      </c>
    </row>
    <row r="1357" spans="1:8">
      <c r="A1357" s="52" t="s">
        <v>3026</v>
      </c>
      <c r="C1357" s="52" t="s">
        <v>3027</v>
      </c>
      <c r="D1357" s="51" t="s">
        <v>205</v>
      </c>
      <c r="F1357" s="51">
        <v>2000</v>
      </c>
      <c r="H1357" s="51" t="s">
        <v>2823</v>
      </c>
    </row>
    <row r="1358" spans="1:8">
      <c r="A1358" s="52" t="s">
        <v>3028</v>
      </c>
      <c r="C1358" s="52" t="s">
        <v>3029</v>
      </c>
      <c r="D1358" s="51" t="s">
        <v>205</v>
      </c>
      <c r="F1358" s="51">
        <v>2000</v>
      </c>
      <c r="H1358" s="51" t="s">
        <v>2823</v>
      </c>
    </row>
    <row r="1359" spans="1:8">
      <c r="A1359" s="52" t="s">
        <v>3030</v>
      </c>
      <c r="C1359" s="52" t="s">
        <v>3031</v>
      </c>
      <c r="D1359" s="51" t="s">
        <v>205</v>
      </c>
      <c r="F1359" s="51">
        <v>2000</v>
      </c>
      <c r="H1359" s="51" t="s">
        <v>2823</v>
      </c>
    </row>
    <row r="1360" spans="1:8">
      <c r="A1360" s="52" t="s">
        <v>3032</v>
      </c>
      <c r="C1360" s="52" t="s">
        <v>3033</v>
      </c>
      <c r="D1360" s="51" t="s">
        <v>205</v>
      </c>
      <c r="F1360" s="51">
        <v>2000</v>
      </c>
      <c r="H1360" s="51" t="s">
        <v>2823</v>
      </c>
    </row>
    <row r="1361" spans="1:8">
      <c r="A1361" s="52" t="s">
        <v>3034</v>
      </c>
      <c r="C1361" s="52" t="s">
        <v>3035</v>
      </c>
      <c r="D1361" s="51" t="s">
        <v>205</v>
      </c>
      <c r="F1361" s="51">
        <v>2000</v>
      </c>
      <c r="H1361" s="51" t="s">
        <v>2823</v>
      </c>
    </row>
    <row r="1362" spans="1:8">
      <c r="A1362" s="52" t="s">
        <v>3036</v>
      </c>
      <c r="C1362" s="52" t="s">
        <v>3037</v>
      </c>
      <c r="D1362" s="51" t="s">
        <v>205</v>
      </c>
      <c r="F1362" s="51">
        <v>2000</v>
      </c>
      <c r="H1362" s="51" t="s">
        <v>2823</v>
      </c>
    </row>
    <row r="1363" spans="1:8">
      <c r="A1363" s="52" t="s">
        <v>3038</v>
      </c>
      <c r="C1363" s="52" t="s">
        <v>3039</v>
      </c>
      <c r="D1363" s="51" t="s">
        <v>205</v>
      </c>
      <c r="F1363" s="51">
        <v>2000</v>
      </c>
      <c r="H1363" s="51" t="s">
        <v>2823</v>
      </c>
    </row>
    <row r="1364" spans="1:8">
      <c r="A1364" s="52" t="s">
        <v>3040</v>
      </c>
      <c r="C1364" s="52" t="s">
        <v>3041</v>
      </c>
      <c r="D1364" s="51" t="s">
        <v>205</v>
      </c>
      <c r="F1364" s="51">
        <v>2000</v>
      </c>
      <c r="H1364" s="51" t="s">
        <v>2823</v>
      </c>
    </row>
    <row r="1365" spans="1:8">
      <c r="A1365" s="52" t="s">
        <v>3042</v>
      </c>
      <c r="C1365" s="52" t="s">
        <v>3043</v>
      </c>
      <c r="D1365" s="51" t="s">
        <v>205</v>
      </c>
      <c r="F1365" s="51">
        <v>2000</v>
      </c>
      <c r="H1365" s="51" t="s">
        <v>2823</v>
      </c>
    </row>
    <row r="1366" spans="1:8">
      <c r="A1366" s="52" t="s">
        <v>3044</v>
      </c>
      <c r="C1366" s="52" t="s">
        <v>3045</v>
      </c>
      <c r="D1366" s="51" t="s">
        <v>205</v>
      </c>
      <c r="F1366" s="51">
        <v>2000</v>
      </c>
      <c r="H1366" s="51" t="s">
        <v>2823</v>
      </c>
    </row>
    <row r="1367" spans="1:8">
      <c r="A1367" s="52" t="s">
        <v>3046</v>
      </c>
      <c r="C1367" s="52" t="s">
        <v>3047</v>
      </c>
      <c r="D1367" s="51" t="s">
        <v>205</v>
      </c>
      <c r="F1367" s="51">
        <v>2000</v>
      </c>
      <c r="H1367" s="51" t="s">
        <v>2823</v>
      </c>
    </row>
    <row r="1368" spans="1:8">
      <c r="A1368" s="52" t="s">
        <v>3048</v>
      </c>
      <c r="C1368" s="52" t="s">
        <v>3049</v>
      </c>
      <c r="D1368" s="51" t="s">
        <v>205</v>
      </c>
      <c r="F1368" s="51">
        <v>2000</v>
      </c>
      <c r="H1368" s="51" t="s">
        <v>2823</v>
      </c>
    </row>
    <row r="1369" spans="1:8">
      <c r="A1369" s="52" t="s">
        <v>3050</v>
      </c>
      <c r="C1369" s="52" t="s">
        <v>3051</v>
      </c>
      <c r="D1369" s="51" t="s">
        <v>205</v>
      </c>
      <c r="F1369" s="51">
        <v>2000</v>
      </c>
      <c r="H1369" s="51" t="s">
        <v>2823</v>
      </c>
    </row>
    <row r="1370" spans="1:8">
      <c r="A1370" s="52" t="s">
        <v>3052</v>
      </c>
      <c r="C1370" s="52" t="s">
        <v>3053</v>
      </c>
      <c r="D1370" s="51" t="s">
        <v>205</v>
      </c>
      <c r="F1370" s="51">
        <v>2000</v>
      </c>
      <c r="H1370" s="51" t="s">
        <v>2823</v>
      </c>
    </row>
    <row r="1371" spans="1:8">
      <c r="A1371" s="52" t="s">
        <v>3054</v>
      </c>
      <c r="C1371" s="52" t="s">
        <v>3055</v>
      </c>
      <c r="D1371" s="51" t="s">
        <v>205</v>
      </c>
      <c r="F1371" s="51">
        <v>2000</v>
      </c>
      <c r="H1371" s="51" t="s">
        <v>2823</v>
      </c>
    </row>
    <row r="1372" spans="1:8">
      <c r="A1372" s="52" t="s">
        <v>3056</v>
      </c>
      <c r="C1372" s="52" t="s">
        <v>3057</v>
      </c>
      <c r="D1372" s="51" t="s">
        <v>205</v>
      </c>
      <c r="F1372" s="51">
        <v>2000</v>
      </c>
      <c r="H1372" s="51" t="s">
        <v>2823</v>
      </c>
    </row>
    <row r="1373" spans="1:8">
      <c r="A1373" s="52" t="s">
        <v>3058</v>
      </c>
      <c r="C1373" s="52" t="s">
        <v>3059</v>
      </c>
      <c r="D1373" s="51" t="s">
        <v>205</v>
      </c>
      <c r="F1373" s="51">
        <v>2000</v>
      </c>
      <c r="H1373" s="51" t="s">
        <v>2823</v>
      </c>
    </row>
    <row r="1374" spans="1:8">
      <c r="A1374" s="52" t="s">
        <v>3060</v>
      </c>
      <c r="C1374" s="52" t="s">
        <v>3061</v>
      </c>
      <c r="D1374" s="51" t="s">
        <v>205</v>
      </c>
      <c r="F1374" s="51">
        <v>2000</v>
      </c>
      <c r="H1374" s="51" t="s">
        <v>2823</v>
      </c>
    </row>
    <row r="1375" spans="1:8">
      <c r="A1375" s="52" t="s">
        <v>3062</v>
      </c>
      <c r="C1375" s="52" t="s">
        <v>3063</v>
      </c>
      <c r="D1375" s="51" t="s">
        <v>205</v>
      </c>
      <c r="F1375" s="51">
        <v>2000</v>
      </c>
      <c r="H1375" s="51" t="s">
        <v>2823</v>
      </c>
    </row>
    <row r="1376" spans="1:8">
      <c r="A1376" s="52" t="s">
        <v>3064</v>
      </c>
      <c r="C1376" s="52" t="s">
        <v>3065</v>
      </c>
      <c r="D1376" s="51" t="s">
        <v>205</v>
      </c>
      <c r="F1376" s="51">
        <v>2000</v>
      </c>
      <c r="H1376" s="51" t="s">
        <v>2823</v>
      </c>
    </row>
    <row r="1377" spans="1:8">
      <c r="A1377" s="52" t="s">
        <v>3066</v>
      </c>
      <c r="C1377" s="52" t="s">
        <v>3067</v>
      </c>
      <c r="D1377" s="51" t="s">
        <v>205</v>
      </c>
      <c r="F1377" s="51">
        <v>2000</v>
      </c>
      <c r="H1377" s="51" t="s">
        <v>2823</v>
      </c>
    </row>
    <row r="1378" spans="1:8">
      <c r="A1378" s="52" t="s">
        <v>3068</v>
      </c>
      <c r="C1378" s="52" t="s">
        <v>3069</v>
      </c>
      <c r="D1378" s="51" t="s">
        <v>205</v>
      </c>
      <c r="F1378" s="51">
        <v>2000</v>
      </c>
      <c r="H1378" s="51" t="s">
        <v>2823</v>
      </c>
    </row>
    <row r="1379" spans="1:8">
      <c r="A1379" s="52" t="s">
        <v>3070</v>
      </c>
      <c r="C1379" s="52" t="s">
        <v>3071</v>
      </c>
      <c r="D1379" s="51" t="s">
        <v>205</v>
      </c>
      <c r="F1379" s="51">
        <v>2000</v>
      </c>
      <c r="H1379" s="51" t="s">
        <v>2823</v>
      </c>
    </row>
    <row r="1380" spans="1:8">
      <c r="A1380" s="52" t="s">
        <v>3072</v>
      </c>
      <c r="C1380" s="52" t="s">
        <v>3073</v>
      </c>
      <c r="D1380" s="51" t="s">
        <v>205</v>
      </c>
      <c r="F1380" s="51">
        <v>2000</v>
      </c>
      <c r="H1380" s="51" t="s">
        <v>2823</v>
      </c>
    </row>
    <row r="1381" spans="1:8">
      <c r="A1381" s="52" t="s">
        <v>3074</v>
      </c>
      <c r="C1381" s="52" t="s">
        <v>3075</v>
      </c>
      <c r="D1381" s="51" t="s">
        <v>205</v>
      </c>
      <c r="F1381" s="51">
        <v>2000</v>
      </c>
      <c r="H1381" s="51" t="s">
        <v>2823</v>
      </c>
    </row>
    <row r="1382" spans="1:8">
      <c r="A1382" s="52" t="s">
        <v>3076</v>
      </c>
      <c r="C1382" s="52" t="s">
        <v>3077</v>
      </c>
      <c r="D1382" s="51" t="s">
        <v>205</v>
      </c>
      <c r="F1382" s="51">
        <v>2000</v>
      </c>
      <c r="H1382" s="51" t="s">
        <v>2823</v>
      </c>
    </row>
    <row r="1383" spans="1:8">
      <c r="A1383" s="52" t="s">
        <v>3078</v>
      </c>
      <c r="C1383" s="52" t="s">
        <v>3079</v>
      </c>
      <c r="D1383" s="51" t="s">
        <v>205</v>
      </c>
      <c r="F1383" s="51">
        <v>2000</v>
      </c>
      <c r="H1383" s="51" t="s">
        <v>2823</v>
      </c>
    </row>
    <row r="1384" spans="1:8">
      <c r="A1384" s="52" t="s">
        <v>3080</v>
      </c>
      <c r="C1384" s="52" t="s">
        <v>3081</v>
      </c>
      <c r="D1384" s="51" t="s">
        <v>205</v>
      </c>
      <c r="F1384" s="51">
        <v>2000</v>
      </c>
      <c r="H1384" s="51" t="s">
        <v>2823</v>
      </c>
    </row>
    <row r="1385" spans="1:8">
      <c r="A1385" s="52" t="s">
        <v>3082</v>
      </c>
      <c r="C1385" s="52" t="s">
        <v>3083</v>
      </c>
      <c r="D1385" s="51" t="s">
        <v>205</v>
      </c>
      <c r="F1385" s="51">
        <v>2000</v>
      </c>
      <c r="H1385" s="51" t="s">
        <v>2823</v>
      </c>
    </row>
    <row r="1386" spans="1:8">
      <c r="A1386" s="52" t="s">
        <v>3084</v>
      </c>
      <c r="C1386" s="52" t="s">
        <v>3085</v>
      </c>
      <c r="D1386" s="51" t="s">
        <v>205</v>
      </c>
      <c r="F1386" s="51">
        <v>2000</v>
      </c>
      <c r="H1386" s="51" t="s">
        <v>2823</v>
      </c>
    </row>
    <row r="1387" spans="1:8">
      <c r="A1387" s="52" t="s">
        <v>3086</v>
      </c>
      <c r="C1387" s="52" t="s">
        <v>3087</v>
      </c>
      <c r="D1387" s="51" t="s">
        <v>205</v>
      </c>
      <c r="F1387" s="51">
        <v>2000</v>
      </c>
      <c r="H1387" s="51" t="s">
        <v>2823</v>
      </c>
    </row>
    <row r="1388" spans="1:8">
      <c r="A1388" s="52" t="s">
        <v>3088</v>
      </c>
      <c r="C1388" s="52" t="s">
        <v>3089</v>
      </c>
      <c r="D1388" s="51" t="s">
        <v>205</v>
      </c>
      <c r="F1388" s="51">
        <v>2000</v>
      </c>
      <c r="H1388" s="51" t="s">
        <v>2823</v>
      </c>
    </row>
    <row r="1389" spans="1:8">
      <c r="A1389" s="52" t="s">
        <v>3090</v>
      </c>
      <c r="C1389" s="52" t="s">
        <v>3091</v>
      </c>
      <c r="D1389" s="51" t="s">
        <v>205</v>
      </c>
      <c r="F1389" s="51">
        <v>2000</v>
      </c>
      <c r="H1389" s="51" t="s">
        <v>2823</v>
      </c>
    </row>
    <row r="1390" spans="1:8">
      <c r="A1390" s="52" t="s">
        <v>3092</v>
      </c>
      <c r="C1390" s="52" t="s">
        <v>3093</v>
      </c>
      <c r="D1390" s="51" t="s">
        <v>205</v>
      </c>
      <c r="F1390" s="51">
        <v>2000</v>
      </c>
      <c r="H1390" s="51" t="s">
        <v>2823</v>
      </c>
    </row>
    <row r="1391" spans="1:8">
      <c r="A1391" s="52" t="s">
        <v>3094</v>
      </c>
      <c r="C1391" s="52" t="s">
        <v>3095</v>
      </c>
      <c r="D1391" s="51" t="s">
        <v>205</v>
      </c>
      <c r="F1391" s="51">
        <v>2000</v>
      </c>
      <c r="H1391" s="51" t="s">
        <v>2823</v>
      </c>
    </row>
    <row r="1392" spans="1:8">
      <c r="A1392" s="52" t="s">
        <v>3096</v>
      </c>
      <c r="C1392" s="52" t="s">
        <v>3097</v>
      </c>
      <c r="D1392" s="51" t="s">
        <v>205</v>
      </c>
      <c r="F1392" s="51">
        <v>2000</v>
      </c>
      <c r="H1392" s="51" t="s">
        <v>2823</v>
      </c>
    </row>
    <row r="1393" spans="1:8">
      <c r="A1393" s="52" t="s">
        <v>3098</v>
      </c>
      <c r="C1393" s="52" t="s">
        <v>3099</v>
      </c>
      <c r="D1393" s="51" t="s">
        <v>205</v>
      </c>
      <c r="F1393" s="51">
        <v>2000</v>
      </c>
      <c r="H1393" s="51" t="s">
        <v>2823</v>
      </c>
    </row>
    <row r="1394" spans="1:8">
      <c r="A1394" s="52" t="s">
        <v>3100</v>
      </c>
      <c r="C1394" s="52" t="s">
        <v>3101</v>
      </c>
      <c r="D1394" s="51" t="s">
        <v>205</v>
      </c>
      <c r="F1394" s="51">
        <v>2000</v>
      </c>
      <c r="H1394" s="51" t="s">
        <v>2823</v>
      </c>
    </row>
    <row r="1395" spans="1:8">
      <c r="A1395" s="52" t="s">
        <v>3102</v>
      </c>
      <c r="C1395" s="52" t="s">
        <v>3103</v>
      </c>
      <c r="D1395" s="51" t="s">
        <v>205</v>
      </c>
      <c r="F1395" s="51">
        <v>2000</v>
      </c>
      <c r="H1395" s="51" t="s">
        <v>2823</v>
      </c>
    </row>
    <row r="1396" spans="1:8">
      <c r="A1396" s="52" t="s">
        <v>3104</v>
      </c>
      <c r="C1396" s="52" t="s">
        <v>3105</v>
      </c>
      <c r="D1396" s="51" t="s">
        <v>205</v>
      </c>
      <c r="F1396" s="51">
        <v>2000</v>
      </c>
      <c r="H1396" s="51" t="s">
        <v>2823</v>
      </c>
    </row>
    <row r="1397" spans="1:8">
      <c r="A1397" s="52" t="s">
        <v>3106</v>
      </c>
      <c r="C1397" s="52" t="s">
        <v>3107</v>
      </c>
      <c r="D1397" s="51" t="s">
        <v>205</v>
      </c>
      <c r="F1397" s="51">
        <v>2000</v>
      </c>
      <c r="H1397" s="51" t="s">
        <v>2823</v>
      </c>
    </row>
    <row r="1398" spans="1:8">
      <c r="A1398" s="52" t="s">
        <v>3108</v>
      </c>
      <c r="C1398" s="52" t="s">
        <v>3109</v>
      </c>
      <c r="D1398" s="51" t="s">
        <v>205</v>
      </c>
      <c r="F1398" s="51">
        <v>2000</v>
      </c>
      <c r="H1398" s="51" t="s">
        <v>2823</v>
      </c>
    </row>
    <row r="1399" spans="1:8">
      <c r="A1399" s="52" t="s">
        <v>3110</v>
      </c>
      <c r="C1399" s="52" t="s">
        <v>3111</v>
      </c>
      <c r="D1399" s="51" t="s">
        <v>205</v>
      </c>
      <c r="F1399" s="51">
        <v>2000</v>
      </c>
      <c r="H1399" s="51" t="s">
        <v>2823</v>
      </c>
    </row>
    <row r="1400" spans="1:8">
      <c r="A1400" s="52" t="s">
        <v>3112</v>
      </c>
      <c r="C1400" s="52" t="s">
        <v>3113</v>
      </c>
      <c r="D1400" s="51" t="s">
        <v>205</v>
      </c>
      <c r="F1400" s="51">
        <v>2000</v>
      </c>
      <c r="H1400" s="51" t="s">
        <v>2823</v>
      </c>
    </row>
    <row r="1401" spans="1:8">
      <c r="A1401" s="52" t="s">
        <v>3114</v>
      </c>
      <c r="C1401" s="52" t="s">
        <v>3115</v>
      </c>
      <c r="D1401" s="51" t="s">
        <v>205</v>
      </c>
      <c r="F1401" s="51">
        <v>2000</v>
      </c>
      <c r="H1401" s="51" t="s">
        <v>2823</v>
      </c>
    </row>
    <row r="1402" spans="1:8">
      <c r="A1402" s="52" t="s">
        <v>3116</v>
      </c>
      <c r="C1402" s="52" t="s">
        <v>3117</v>
      </c>
      <c r="D1402" s="51" t="s">
        <v>205</v>
      </c>
      <c r="F1402" s="51">
        <v>2000</v>
      </c>
      <c r="H1402" s="51" t="s">
        <v>2823</v>
      </c>
    </row>
    <row r="1403" spans="1:8">
      <c r="A1403" s="52" t="s">
        <v>3118</v>
      </c>
      <c r="C1403" s="52" t="s">
        <v>3119</v>
      </c>
      <c r="D1403" s="51" t="s">
        <v>205</v>
      </c>
      <c r="F1403" s="51">
        <v>2000</v>
      </c>
      <c r="H1403" s="51" t="s">
        <v>2823</v>
      </c>
    </row>
    <row r="1404" spans="1:8">
      <c r="A1404" s="52" t="s">
        <v>3120</v>
      </c>
      <c r="C1404" s="52" t="s">
        <v>3121</v>
      </c>
      <c r="D1404" s="51" t="s">
        <v>205</v>
      </c>
      <c r="F1404" s="51">
        <v>2000</v>
      </c>
      <c r="H1404" s="51" t="s">
        <v>2823</v>
      </c>
    </row>
    <row r="1405" spans="1:8">
      <c r="A1405" s="52" t="s">
        <v>3122</v>
      </c>
      <c r="C1405" s="52" t="s">
        <v>3123</v>
      </c>
      <c r="D1405" s="51" t="s">
        <v>205</v>
      </c>
      <c r="F1405" s="51">
        <v>2000</v>
      </c>
      <c r="H1405" s="51" t="s">
        <v>2823</v>
      </c>
    </row>
    <row r="1406" spans="1:8">
      <c r="A1406" s="52" t="s">
        <v>3124</v>
      </c>
      <c r="C1406" s="52" t="s">
        <v>3125</v>
      </c>
      <c r="D1406" s="51" t="s">
        <v>205</v>
      </c>
      <c r="F1406" s="51">
        <v>2000</v>
      </c>
      <c r="H1406" s="51" t="s">
        <v>2823</v>
      </c>
    </row>
    <row r="1407" spans="1:8">
      <c r="A1407" s="52" t="s">
        <v>3126</v>
      </c>
      <c r="C1407" s="52" t="s">
        <v>3127</v>
      </c>
      <c r="D1407" s="51" t="s">
        <v>205</v>
      </c>
      <c r="F1407" s="51">
        <v>2000</v>
      </c>
      <c r="H1407" s="51" t="s">
        <v>2823</v>
      </c>
    </row>
    <row r="1408" spans="1:8">
      <c r="A1408" s="52" t="s">
        <v>3128</v>
      </c>
      <c r="C1408" s="52" t="s">
        <v>3129</v>
      </c>
      <c r="D1408" s="51" t="s">
        <v>205</v>
      </c>
      <c r="F1408" s="51">
        <v>2000</v>
      </c>
      <c r="H1408" s="51" t="s">
        <v>2823</v>
      </c>
    </row>
    <row r="1409" spans="1:8">
      <c r="A1409" s="52" t="s">
        <v>3130</v>
      </c>
      <c r="C1409" s="52" t="s">
        <v>3131</v>
      </c>
      <c r="D1409" s="51" t="s">
        <v>205</v>
      </c>
      <c r="F1409" s="51">
        <v>2000</v>
      </c>
      <c r="H1409" s="51" t="s">
        <v>2823</v>
      </c>
    </row>
    <row r="1410" spans="1:8">
      <c r="A1410" s="52" t="s">
        <v>3132</v>
      </c>
      <c r="C1410" s="52" t="s">
        <v>3133</v>
      </c>
      <c r="D1410" s="51" t="s">
        <v>3134</v>
      </c>
      <c r="F1410" s="51">
        <v>2000</v>
      </c>
      <c r="H1410" s="51" t="s">
        <v>2823</v>
      </c>
    </row>
    <row r="1411" spans="1:8">
      <c r="A1411" s="52" t="s">
        <v>3135</v>
      </c>
      <c r="C1411" s="52" t="s">
        <v>3136</v>
      </c>
      <c r="D1411" s="51" t="s">
        <v>3134</v>
      </c>
      <c r="F1411" s="51">
        <v>2000</v>
      </c>
      <c r="H1411" s="51" t="s">
        <v>2823</v>
      </c>
    </row>
    <row r="1412" spans="1:8">
      <c r="A1412" s="52" t="s">
        <v>3137</v>
      </c>
      <c r="C1412" s="52" t="s">
        <v>3138</v>
      </c>
      <c r="D1412" s="51" t="s">
        <v>3134</v>
      </c>
      <c r="F1412" s="51">
        <v>2000</v>
      </c>
      <c r="H1412" s="51" t="s">
        <v>2823</v>
      </c>
    </row>
    <row r="1413" spans="1:8">
      <c r="A1413" s="52" t="s">
        <v>3139</v>
      </c>
      <c r="C1413" s="52" t="s">
        <v>3140</v>
      </c>
      <c r="D1413" s="51" t="s">
        <v>3134</v>
      </c>
      <c r="F1413" s="51">
        <v>2000</v>
      </c>
      <c r="H1413" s="51" t="s">
        <v>2823</v>
      </c>
    </row>
    <row r="1414" spans="1:8">
      <c r="A1414" s="52" t="s">
        <v>3141</v>
      </c>
      <c r="C1414" s="52" t="s">
        <v>3142</v>
      </c>
      <c r="D1414" s="51" t="s">
        <v>3134</v>
      </c>
      <c r="F1414" s="51">
        <v>2000</v>
      </c>
      <c r="H1414" s="51" t="s">
        <v>2823</v>
      </c>
    </row>
    <row r="1415" spans="1:8">
      <c r="A1415" s="52" t="s">
        <v>3143</v>
      </c>
      <c r="C1415" s="52" t="s">
        <v>3144</v>
      </c>
      <c r="D1415" s="51" t="s">
        <v>3134</v>
      </c>
      <c r="F1415" s="51">
        <v>2000</v>
      </c>
      <c r="H1415" s="51" t="s">
        <v>2823</v>
      </c>
    </row>
    <row r="1416" spans="1:8">
      <c r="A1416" s="52" t="s">
        <v>3145</v>
      </c>
      <c r="C1416" s="52" t="s">
        <v>3146</v>
      </c>
      <c r="D1416" s="51" t="s">
        <v>3134</v>
      </c>
      <c r="F1416" s="51">
        <v>2000</v>
      </c>
      <c r="H1416" s="51" t="s">
        <v>2823</v>
      </c>
    </row>
    <row r="1417" spans="1:8">
      <c r="A1417" s="52" t="s">
        <v>3147</v>
      </c>
      <c r="C1417" s="52" t="s">
        <v>3148</v>
      </c>
      <c r="F1417" s="51">
        <v>2000</v>
      </c>
      <c r="H1417" s="51" t="s">
        <v>2823</v>
      </c>
    </row>
    <row r="1418" spans="1:8">
      <c r="A1418" s="52" t="s">
        <v>3149</v>
      </c>
      <c r="C1418" s="52" t="s">
        <v>3150</v>
      </c>
      <c r="F1418" s="51">
        <v>2000</v>
      </c>
      <c r="H1418" s="51" t="s">
        <v>2823</v>
      </c>
    </row>
    <row r="1419" spans="1:8">
      <c r="A1419" s="52" t="s">
        <v>3151</v>
      </c>
      <c r="C1419" s="52" t="s">
        <v>3152</v>
      </c>
      <c r="F1419" s="51">
        <v>2000</v>
      </c>
      <c r="H1419" s="51" t="s">
        <v>2823</v>
      </c>
    </row>
    <row r="1420" spans="1:8">
      <c r="A1420" s="52" t="s">
        <v>3153</v>
      </c>
      <c r="C1420" s="52" t="s">
        <v>3154</v>
      </c>
      <c r="F1420" s="51">
        <v>2000</v>
      </c>
      <c r="H1420" s="51" t="s">
        <v>2823</v>
      </c>
    </row>
    <row r="1421" spans="1:8">
      <c r="A1421" s="52" t="s">
        <v>3155</v>
      </c>
      <c r="C1421" s="52" t="s">
        <v>3156</v>
      </c>
      <c r="F1421" s="51">
        <v>2000</v>
      </c>
      <c r="H1421" s="51" t="s">
        <v>2823</v>
      </c>
    </row>
    <row r="1422" spans="1:8">
      <c r="A1422" s="52" t="s">
        <v>3157</v>
      </c>
      <c r="C1422" s="52" t="s">
        <v>3158</v>
      </c>
      <c r="F1422" s="51">
        <v>2000</v>
      </c>
      <c r="H1422" s="51" t="s">
        <v>2823</v>
      </c>
    </row>
    <row r="1423" spans="1:8">
      <c r="A1423" s="52" t="s">
        <v>3159</v>
      </c>
      <c r="C1423" s="52" t="s">
        <v>3160</v>
      </c>
      <c r="F1423" s="51">
        <v>2000</v>
      </c>
      <c r="H1423" s="51" t="s">
        <v>2823</v>
      </c>
    </row>
    <row r="1424" spans="1:8">
      <c r="A1424" s="52" t="s">
        <v>3161</v>
      </c>
      <c r="C1424" s="52" t="s">
        <v>3162</v>
      </c>
      <c r="F1424" s="51">
        <v>2000</v>
      </c>
      <c r="H1424" s="51" t="s">
        <v>2823</v>
      </c>
    </row>
    <row r="1425" spans="1:8">
      <c r="A1425" s="52" t="s">
        <v>3163</v>
      </c>
      <c r="C1425" s="52" t="s">
        <v>3164</v>
      </c>
      <c r="D1425" s="51" t="s">
        <v>3165</v>
      </c>
      <c r="F1425" s="51">
        <v>2000</v>
      </c>
      <c r="H1425" s="51" t="s">
        <v>2823</v>
      </c>
    </row>
    <row r="1426" spans="1:8">
      <c r="A1426" s="52" t="s">
        <v>3166</v>
      </c>
      <c r="C1426" s="52" t="s">
        <v>3167</v>
      </c>
      <c r="D1426" s="51" t="s">
        <v>3168</v>
      </c>
      <c r="F1426" s="51">
        <v>2000</v>
      </c>
      <c r="H1426" s="51" t="s">
        <v>2823</v>
      </c>
    </row>
    <row r="1427" spans="1:8">
      <c r="A1427" s="52" t="s">
        <v>3169</v>
      </c>
      <c r="C1427" s="52" t="s">
        <v>3170</v>
      </c>
      <c r="D1427" s="51" t="s">
        <v>2822</v>
      </c>
      <c r="F1427" s="51">
        <v>2000</v>
      </c>
      <c r="H1427" s="51" t="s">
        <v>2823</v>
      </c>
    </row>
    <row r="1428" ht="16.8" spans="1:8">
      <c r="A1428" s="104" t="s">
        <v>3171</v>
      </c>
      <c r="C1428" s="52" t="s">
        <v>3172</v>
      </c>
      <c r="D1428" s="51" t="s">
        <v>57</v>
      </c>
      <c r="F1428" s="51">
        <v>2000</v>
      </c>
      <c r="H1428" s="51" t="s">
        <v>2823</v>
      </c>
    </row>
    <row r="1429" ht="16.8" spans="1:8">
      <c r="A1429" s="104" t="s">
        <v>3173</v>
      </c>
      <c r="C1429" s="52" t="s">
        <v>3174</v>
      </c>
      <c r="D1429" s="51" t="s">
        <v>57</v>
      </c>
      <c r="F1429" s="51">
        <v>2000</v>
      </c>
      <c r="H1429" s="51" t="s">
        <v>2823</v>
      </c>
    </row>
    <row r="1430" ht="16.8" spans="1:8">
      <c r="A1430" s="104" t="s">
        <v>3175</v>
      </c>
      <c r="C1430" s="52" t="s">
        <v>3176</v>
      </c>
      <c r="D1430" s="51" t="s">
        <v>57</v>
      </c>
      <c r="F1430" s="51">
        <v>2000</v>
      </c>
      <c r="H1430" s="51" t="s">
        <v>2823</v>
      </c>
    </row>
    <row r="1431" ht="16.8" spans="1:8">
      <c r="A1431" s="104" t="s">
        <v>3177</v>
      </c>
      <c r="C1431" s="52" t="s">
        <v>3178</v>
      </c>
      <c r="D1431" s="51" t="s">
        <v>57</v>
      </c>
      <c r="F1431" s="51">
        <v>2000</v>
      </c>
      <c r="H1431" s="51" t="s">
        <v>2823</v>
      </c>
    </row>
    <row r="1432" ht="16.8" spans="1:8">
      <c r="A1432" s="104" t="s">
        <v>3179</v>
      </c>
      <c r="C1432" s="52" t="s">
        <v>3180</v>
      </c>
      <c r="D1432" s="51" t="s">
        <v>57</v>
      </c>
      <c r="F1432" s="51">
        <v>2000</v>
      </c>
      <c r="H1432" s="51" t="s">
        <v>2823</v>
      </c>
    </row>
    <row r="1433" ht="16.8" spans="1:8">
      <c r="A1433" s="104" t="s">
        <v>3181</v>
      </c>
      <c r="C1433" s="52" t="s">
        <v>3182</v>
      </c>
      <c r="D1433" s="51" t="s">
        <v>57</v>
      </c>
      <c r="F1433" s="51">
        <v>2000</v>
      </c>
      <c r="H1433" s="51" t="s">
        <v>2823</v>
      </c>
    </row>
    <row r="1434" ht="16.8" spans="1:8">
      <c r="A1434" s="104" t="s">
        <v>3183</v>
      </c>
      <c r="C1434" s="52" t="s">
        <v>3184</v>
      </c>
      <c r="D1434" s="51" t="s">
        <v>57</v>
      </c>
      <c r="F1434" s="51">
        <v>2000</v>
      </c>
      <c r="H1434" s="51" t="s">
        <v>2823</v>
      </c>
    </row>
    <row r="1435" ht="16.8" spans="1:8">
      <c r="A1435" s="104" t="s">
        <v>3185</v>
      </c>
      <c r="C1435" s="52" t="s">
        <v>3186</v>
      </c>
      <c r="D1435" s="51" t="s">
        <v>57</v>
      </c>
      <c r="F1435" s="51">
        <v>2000</v>
      </c>
      <c r="H1435" s="51" t="s">
        <v>2823</v>
      </c>
    </row>
    <row r="1436" ht="16.8" spans="1:8">
      <c r="A1436" s="104" t="s">
        <v>3187</v>
      </c>
      <c r="C1436" s="52" t="s">
        <v>3188</v>
      </c>
      <c r="D1436" s="51" t="s">
        <v>57</v>
      </c>
      <c r="F1436" s="51">
        <v>2000</v>
      </c>
      <c r="H1436" s="51" t="s">
        <v>2823</v>
      </c>
    </row>
    <row r="1437" ht="16.8" spans="1:8">
      <c r="A1437" s="104" t="s">
        <v>3189</v>
      </c>
      <c r="C1437" s="52" t="s">
        <v>3190</v>
      </c>
      <c r="D1437" s="51" t="s">
        <v>57</v>
      </c>
      <c r="F1437" s="51">
        <v>2000</v>
      </c>
      <c r="H1437" s="51" t="s">
        <v>2823</v>
      </c>
    </row>
    <row r="1438" ht="16.8" spans="1:8">
      <c r="A1438" s="104" t="s">
        <v>3191</v>
      </c>
      <c r="C1438" s="52" t="s">
        <v>3192</v>
      </c>
      <c r="D1438" s="51" t="s">
        <v>57</v>
      </c>
      <c r="F1438" s="51">
        <v>2000</v>
      </c>
      <c r="H1438" s="51" t="s">
        <v>2823</v>
      </c>
    </row>
    <row r="1439" ht="16.8" spans="1:8">
      <c r="A1439" s="104" t="s">
        <v>3193</v>
      </c>
      <c r="C1439" s="52" t="s">
        <v>3194</v>
      </c>
      <c r="D1439" s="51" t="s">
        <v>57</v>
      </c>
      <c r="F1439" s="51">
        <v>2000</v>
      </c>
      <c r="H1439" s="51" t="s">
        <v>2823</v>
      </c>
    </row>
    <row r="1440" ht="16.8" spans="1:8">
      <c r="A1440" s="104" t="s">
        <v>3195</v>
      </c>
      <c r="C1440" s="52" t="s">
        <v>3196</v>
      </c>
      <c r="D1440" s="51" t="s">
        <v>57</v>
      </c>
      <c r="F1440" s="51">
        <v>2000</v>
      </c>
      <c r="H1440" s="51" t="s">
        <v>2823</v>
      </c>
    </row>
    <row r="1441" ht="16.8" spans="1:8">
      <c r="A1441" s="104" t="s">
        <v>3197</v>
      </c>
      <c r="C1441" s="52" t="s">
        <v>3198</v>
      </c>
      <c r="D1441" s="51" t="s">
        <v>57</v>
      </c>
      <c r="F1441" s="51">
        <v>2000</v>
      </c>
      <c r="H1441" s="51" t="s">
        <v>2823</v>
      </c>
    </row>
    <row r="1442" ht="16.8" spans="1:8">
      <c r="A1442" s="104" t="s">
        <v>3199</v>
      </c>
      <c r="C1442" s="52" t="s">
        <v>3190</v>
      </c>
      <c r="D1442" s="51" t="s">
        <v>57</v>
      </c>
      <c r="F1442" s="51">
        <v>2000</v>
      </c>
      <c r="H1442" s="51" t="s">
        <v>2823</v>
      </c>
    </row>
    <row r="1443" ht="16.8" spans="1:8">
      <c r="A1443" s="104" t="s">
        <v>3200</v>
      </c>
      <c r="C1443" s="52" t="s">
        <v>3201</v>
      </c>
      <c r="D1443" s="51" t="s">
        <v>57</v>
      </c>
      <c r="F1443" s="51">
        <v>2000</v>
      </c>
      <c r="H1443" s="51" t="s">
        <v>2823</v>
      </c>
    </row>
    <row r="1444" spans="1:6">
      <c r="A1444" s="52" t="s">
        <v>3202</v>
      </c>
      <c r="C1444" s="52" t="s">
        <v>3203</v>
      </c>
      <c r="D1444" s="51" t="s">
        <v>507</v>
      </c>
      <c r="F1444" s="51">
        <v>2000</v>
      </c>
    </row>
    <row r="1445" spans="1:6">
      <c r="A1445" s="52" t="s">
        <v>3204</v>
      </c>
      <c r="C1445" s="52" t="s">
        <v>3205</v>
      </c>
      <c r="D1445" s="51" t="s">
        <v>507</v>
      </c>
      <c r="F1445" s="51">
        <v>2000</v>
      </c>
    </row>
    <row r="1446" spans="1:6">
      <c r="A1446" s="52" t="s">
        <v>3206</v>
      </c>
      <c r="C1446" s="52" t="s">
        <v>3207</v>
      </c>
      <c r="D1446" s="51" t="s">
        <v>507</v>
      </c>
      <c r="F1446" s="51">
        <v>2000</v>
      </c>
    </row>
    <row r="1447" spans="1:6">
      <c r="A1447" s="52" t="s">
        <v>3208</v>
      </c>
      <c r="C1447" s="52" t="s">
        <v>3209</v>
      </c>
      <c r="D1447" s="51" t="s">
        <v>507</v>
      </c>
      <c r="F1447" s="51">
        <v>2000</v>
      </c>
    </row>
    <row r="1448" spans="1:8">
      <c r="A1448" s="52" t="s">
        <v>3210</v>
      </c>
      <c r="C1448" s="52" t="s">
        <v>3211</v>
      </c>
      <c r="D1448" s="51" t="s">
        <v>600</v>
      </c>
      <c r="F1448" s="51">
        <v>2000</v>
      </c>
      <c r="H1448" s="51">
        <v>0.87</v>
      </c>
    </row>
    <row r="1449" spans="1:8">
      <c r="A1449" s="52" t="s">
        <v>3212</v>
      </c>
      <c r="C1449" s="52" t="s">
        <v>3213</v>
      </c>
      <c r="D1449" s="51" t="s">
        <v>600</v>
      </c>
      <c r="F1449" s="51">
        <v>1999</v>
      </c>
      <c r="H1449" s="51">
        <v>0.0151</v>
      </c>
    </row>
    <row r="1450" spans="1:8">
      <c r="A1450" s="52" t="s">
        <v>3214</v>
      </c>
      <c r="C1450" s="52" t="s">
        <v>3215</v>
      </c>
      <c r="D1450" s="51" t="s">
        <v>600</v>
      </c>
      <c r="F1450" s="51">
        <v>1999</v>
      </c>
      <c r="H1450" s="51">
        <v>0.0095</v>
      </c>
    </row>
    <row r="1451" spans="1:8">
      <c r="A1451" s="52" t="s">
        <v>3216</v>
      </c>
      <c r="C1451" s="52" t="s">
        <v>3217</v>
      </c>
      <c r="D1451" s="51" t="s">
        <v>600</v>
      </c>
      <c r="F1451" s="51">
        <v>1999</v>
      </c>
      <c r="H1451" s="51">
        <v>0.0356</v>
      </c>
    </row>
    <row r="1452" spans="1:8">
      <c r="A1452" s="52" t="s">
        <v>3218</v>
      </c>
      <c r="C1452" s="52" t="s">
        <v>3219</v>
      </c>
      <c r="D1452" s="51" t="s">
        <v>600</v>
      </c>
      <c r="F1452" s="51">
        <v>2000</v>
      </c>
      <c r="H1452" s="51">
        <v>1.93</v>
      </c>
    </row>
    <row r="1453" spans="1:8">
      <c r="A1453" s="52" t="s">
        <v>3220</v>
      </c>
      <c r="C1453" s="52" t="s">
        <v>3221</v>
      </c>
      <c r="D1453" s="51" t="s">
        <v>57</v>
      </c>
      <c r="F1453" s="51">
        <v>50</v>
      </c>
      <c r="H1453" s="51">
        <v>1</v>
      </c>
    </row>
    <row r="1454" spans="1:8">
      <c r="A1454" s="52" t="s">
        <v>3222</v>
      </c>
      <c r="C1454" s="52" t="s">
        <v>3223</v>
      </c>
      <c r="D1454" s="51" t="s">
        <v>3224</v>
      </c>
      <c r="F1454" s="51">
        <v>997</v>
      </c>
      <c r="H1454" s="51">
        <v>0.045</v>
      </c>
    </row>
    <row r="1455" spans="1:8">
      <c r="A1455" s="52" t="s">
        <v>3225</v>
      </c>
      <c r="C1455" s="52" t="s">
        <v>3226</v>
      </c>
      <c r="D1455" s="51" t="s">
        <v>507</v>
      </c>
      <c r="F1455" s="51">
        <v>2</v>
      </c>
      <c r="H1455" s="51">
        <v>1</v>
      </c>
    </row>
    <row r="1456" spans="1:8">
      <c r="A1456" s="52" t="s">
        <v>3227</v>
      </c>
      <c r="C1456" s="52" t="s">
        <v>3228</v>
      </c>
      <c r="D1456" s="51" t="s">
        <v>3229</v>
      </c>
      <c r="F1456" s="51">
        <v>50</v>
      </c>
      <c r="H1456" s="51">
        <v>2</v>
      </c>
    </row>
    <row r="1457" spans="1:8">
      <c r="A1457" s="52" t="s">
        <v>3230</v>
      </c>
      <c r="C1457" s="52" t="s">
        <v>3231</v>
      </c>
      <c r="D1457" s="51" t="s">
        <v>3229</v>
      </c>
      <c r="F1457" s="51">
        <v>50</v>
      </c>
      <c r="H1457" s="51">
        <v>4</v>
      </c>
    </row>
    <row r="1458" spans="1:8">
      <c r="A1458" s="52" t="s">
        <v>3232</v>
      </c>
      <c r="C1458" s="52" t="s">
        <v>3233</v>
      </c>
      <c r="D1458" s="51" t="s">
        <v>3229</v>
      </c>
      <c r="F1458" s="51">
        <v>50</v>
      </c>
      <c r="H1458" s="51">
        <v>1</v>
      </c>
    </row>
    <row r="1459" spans="1:8">
      <c r="A1459" s="52" t="s">
        <v>3234</v>
      </c>
      <c r="C1459" s="52" t="s">
        <v>3235</v>
      </c>
      <c r="D1459" s="51" t="s">
        <v>3229</v>
      </c>
      <c r="F1459" s="51">
        <v>50</v>
      </c>
      <c r="H1459" s="51">
        <v>1</v>
      </c>
    </row>
    <row r="1460" spans="1:8">
      <c r="A1460" s="52" t="s">
        <v>3236</v>
      </c>
      <c r="C1460" s="52" t="s">
        <v>3237</v>
      </c>
      <c r="D1460" s="51" t="s">
        <v>57</v>
      </c>
      <c r="F1460" s="51">
        <v>2000</v>
      </c>
      <c r="H1460" s="51">
        <v>1</v>
      </c>
    </row>
    <row r="1461" spans="1:8">
      <c r="A1461" s="52" t="s">
        <v>3238</v>
      </c>
      <c r="C1461" s="52" t="s">
        <v>3239</v>
      </c>
      <c r="D1461" s="51" t="s">
        <v>57</v>
      </c>
      <c r="F1461" s="51">
        <v>2000</v>
      </c>
      <c r="H1461" s="51">
        <v>1</v>
      </c>
    </row>
    <row r="1462" spans="1:8">
      <c r="A1462" s="52" t="s">
        <v>3240</v>
      </c>
      <c r="C1462" s="52" t="s">
        <v>3241</v>
      </c>
      <c r="D1462" s="51" t="s">
        <v>27</v>
      </c>
      <c r="F1462" s="51">
        <v>50</v>
      </c>
      <c r="H1462" s="51">
        <v>1</v>
      </c>
    </row>
    <row r="1463" spans="1:8">
      <c r="A1463" s="52" t="s">
        <v>3242</v>
      </c>
      <c r="C1463" s="52" t="s">
        <v>3243</v>
      </c>
      <c r="D1463" s="51" t="s">
        <v>241</v>
      </c>
      <c r="F1463" s="51">
        <v>50</v>
      </c>
      <c r="H1463" s="51">
        <v>162</v>
      </c>
    </row>
    <row r="1464" spans="1:8">
      <c r="A1464" s="52" t="s">
        <v>3244</v>
      </c>
      <c r="C1464" s="52" t="s">
        <v>3245</v>
      </c>
      <c r="D1464" s="51" t="s">
        <v>27</v>
      </c>
      <c r="F1464" s="51">
        <v>50</v>
      </c>
      <c r="H1464" s="51">
        <v>96</v>
      </c>
    </row>
    <row r="1465" spans="1:8">
      <c r="A1465" s="52" t="s">
        <v>3246</v>
      </c>
      <c r="C1465" s="52" t="s">
        <v>3247</v>
      </c>
      <c r="D1465" s="51" t="s">
        <v>27</v>
      </c>
      <c r="F1465" s="51">
        <v>50</v>
      </c>
      <c r="H1465" s="51">
        <v>19</v>
      </c>
    </row>
    <row r="1466" spans="1:8">
      <c r="A1466" s="52" t="s">
        <v>3248</v>
      </c>
      <c r="C1466" s="52" t="s">
        <v>3249</v>
      </c>
      <c r="D1466" s="51" t="s">
        <v>27</v>
      </c>
      <c r="F1466" s="51">
        <v>50</v>
      </c>
      <c r="H1466" s="51">
        <v>10</v>
      </c>
    </row>
    <row r="1467" spans="1:8">
      <c r="A1467" s="52" t="s">
        <v>3250</v>
      </c>
      <c r="C1467" s="52" t="s">
        <v>3251</v>
      </c>
      <c r="D1467" s="51" t="s">
        <v>27</v>
      </c>
      <c r="F1467" s="51">
        <v>50</v>
      </c>
      <c r="H1467" s="51">
        <v>70</v>
      </c>
    </row>
    <row r="1468" spans="1:8">
      <c r="A1468" s="52" t="s">
        <v>3252</v>
      </c>
      <c r="C1468" s="52" t="s">
        <v>3253</v>
      </c>
      <c r="D1468" s="51" t="s">
        <v>27</v>
      </c>
      <c r="F1468" s="51">
        <v>50</v>
      </c>
      <c r="H1468" s="51">
        <v>100</v>
      </c>
    </row>
    <row r="1469" spans="1:8">
      <c r="A1469" s="52" t="s">
        <v>3254</v>
      </c>
      <c r="C1469" s="52" t="s">
        <v>3255</v>
      </c>
      <c r="D1469" s="51" t="s">
        <v>942</v>
      </c>
      <c r="F1469" s="51">
        <v>50</v>
      </c>
      <c r="H1469" s="51">
        <v>15</v>
      </c>
    </row>
    <row r="1470" spans="1:8">
      <c r="A1470" s="52" t="s">
        <v>3256</v>
      </c>
      <c r="C1470" s="52" t="s">
        <v>3257</v>
      </c>
      <c r="D1470" s="51" t="s">
        <v>57</v>
      </c>
      <c r="F1470" s="51">
        <v>50</v>
      </c>
      <c r="H1470" s="51">
        <v>56</v>
      </c>
    </row>
    <row r="1471" spans="1:8">
      <c r="A1471" s="52" t="s">
        <v>3258</v>
      </c>
      <c r="C1471" s="52" t="s">
        <v>3259</v>
      </c>
      <c r="D1471" s="51" t="s">
        <v>205</v>
      </c>
      <c r="F1471" s="51">
        <v>50</v>
      </c>
      <c r="H1471" s="51">
        <v>74</v>
      </c>
    </row>
    <row r="1472" spans="1:8">
      <c r="A1472" s="52" t="s">
        <v>3260</v>
      </c>
      <c r="C1472" s="52" t="s">
        <v>3261</v>
      </c>
      <c r="D1472" s="51" t="s">
        <v>27</v>
      </c>
      <c r="F1472" s="51">
        <v>50</v>
      </c>
      <c r="H1472" s="51">
        <v>543</v>
      </c>
    </row>
    <row r="1473" spans="1:8">
      <c r="A1473" s="52" t="s">
        <v>3262</v>
      </c>
      <c r="C1473" s="52" t="s">
        <v>3263</v>
      </c>
      <c r="D1473" s="51" t="s">
        <v>27</v>
      </c>
      <c r="F1473" s="51">
        <v>50</v>
      </c>
      <c r="H1473" s="51">
        <v>48</v>
      </c>
    </row>
    <row r="1474" spans="1:8">
      <c r="A1474" s="52" t="s">
        <v>3264</v>
      </c>
      <c r="C1474" s="52" t="s">
        <v>3265</v>
      </c>
      <c r="D1474" s="51" t="s">
        <v>57</v>
      </c>
      <c r="F1474" s="51">
        <v>2000</v>
      </c>
      <c r="H1474" s="51">
        <v>591</v>
      </c>
    </row>
    <row r="1475" spans="1:3">
      <c r="A1475" s="52" t="s">
        <v>3266</v>
      </c>
      <c r="C1475" s="52" t="s">
        <v>2981</v>
      </c>
    </row>
    <row r="1476" spans="1:3">
      <c r="A1476" s="52" t="s">
        <v>3267</v>
      </c>
      <c r="C1476" s="52" t="s">
        <v>3268</v>
      </c>
    </row>
  </sheetData>
  <autoFilter ref="A1:H1476">
    <extLst/>
  </autoFilter>
  <conditionalFormatting sqref="A33">
    <cfRule type="duplicateValues" dxfId="0" priority="20"/>
  </conditionalFormatting>
  <conditionalFormatting sqref="A181">
    <cfRule type="duplicateValues" dxfId="0" priority="25"/>
  </conditionalFormatting>
  <conditionalFormatting sqref="A226">
    <cfRule type="duplicateValues" dxfId="0" priority="26"/>
  </conditionalFormatting>
  <conditionalFormatting sqref="A260">
    <cfRule type="duplicateValues" dxfId="0" priority="23"/>
  </conditionalFormatting>
  <conditionalFormatting sqref="A303">
    <cfRule type="duplicateValues" dxfId="0" priority="28"/>
  </conditionalFormatting>
  <conditionalFormatting sqref="A306">
    <cfRule type="duplicateValues" dxfId="0" priority="24"/>
  </conditionalFormatting>
  <conditionalFormatting sqref="A442">
    <cfRule type="duplicateValues" dxfId="0" priority="29"/>
  </conditionalFormatting>
  <conditionalFormatting sqref="A443">
    <cfRule type="duplicateValues" dxfId="0" priority="21"/>
  </conditionalFormatting>
  <conditionalFormatting sqref="A444">
    <cfRule type="duplicateValues" dxfId="0" priority="17"/>
  </conditionalFormatting>
  <conditionalFormatting sqref="A445">
    <cfRule type="duplicateValues" dxfId="0" priority="16"/>
  </conditionalFormatting>
  <conditionalFormatting sqref="A861">
    <cfRule type="duplicateValues" dxfId="0" priority="7"/>
    <cfRule type="duplicateValues" dxfId="0" priority="6"/>
  </conditionalFormatting>
  <conditionalFormatting sqref="A930">
    <cfRule type="duplicateValues" dxfId="0" priority="13"/>
    <cfRule type="duplicateValues" dxfId="0" priority="12"/>
  </conditionalFormatting>
  <conditionalFormatting sqref="A972">
    <cfRule type="duplicateValues" dxfId="0" priority="22"/>
  </conditionalFormatting>
  <conditionalFormatting sqref="A1047">
    <cfRule type="duplicateValues" dxfId="0" priority="27"/>
  </conditionalFormatting>
  <conditionalFormatting sqref="A1097">
    <cfRule type="duplicateValues" dxfId="0" priority="30"/>
  </conditionalFormatting>
  <conditionalFormatting sqref="A1124">
    <cfRule type="duplicateValues" dxfId="0" priority="9"/>
    <cfRule type="duplicateValues" dxfId="0" priority="8"/>
  </conditionalFormatting>
  <conditionalFormatting sqref="A1230">
    <cfRule type="duplicateValues" dxfId="0" priority="11"/>
    <cfRule type="duplicateValues" dxfId="0" priority="10"/>
  </conditionalFormatting>
  <conditionalFormatting sqref="A1237">
    <cfRule type="duplicateValues" dxfId="0" priority="18"/>
  </conditionalFormatting>
  <conditionalFormatting sqref="A1325">
    <cfRule type="duplicateValues" dxfId="0" priority="15"/>
  </conditionalFormatting>
  <conditionalFormatting sqref="A1340">
    <cfRule type="duplicateValues" dxfId="0" priority="5"/>
    <cfRule type="duplicateValues" dxfId="0" priority="4"/>
  </conditionalFormatting>
  <conditionalFormatting sqref="A1344">
    <cfRule type="duplicateValues" dxfId="0" priority="3"/>
    <cfRule type="duplicateValues" dxfId="0" priority="2"/>
  </conditionalFormatting>
  <conditionalFormatting sqref="A1428:A1443">
    <cfRule type="duplicateValues" dxfId="0" priority="19"/>
  </conditionalFormatting>
  <conditionalFormatting sqref="A1444:A1048576;A1098:A1123;A1:A32;A446:A860;A304:A305;A1048:A1096;A227:A259;A182:A225;A261:A302;A973:A1046;A34:A180;A1238:A1324;A1326:A1339;A307:A441;A931:A971;A1231:A1236;A1125:A1229;A862:A929;A1341:A1343;A1345:A1427">
    <cfRule type="duplicateValues" dxfId="0" priority="31"/>
  </conditionalFormatting>
  <conditionalFormatting sqref="A1231:A1339;A1:A860;A931:A1123;A1125:A1229;A862:A929;A1341:A1343;A1345:A1048576">
    <cfRule type="duplicateValues" dxfId="0" priority="14"/>
  </conditionalFormatting>
  <printOptions horizontalCentered="1" gridLines="1"/>
  <pageMargins left="0.25" right="0.25" top="0.638888888888889" bottom="0.45" header="0.359027777777778" footer="0.179166666666667"/>
  <pageSetup paperSize="9" orientation="landscape" blackAndWhite="1" horizontalDpi="300" verticalDpi="300"/>
  <headerFooter alignWithMargins="0">
    <oddHeader>&amp;C&amp;A</oddHeader>
    <oddFooter>&amp;CPage &amp;P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b64c647d-55f9-49c1-a7c3-b4f435adb491}">
            <xm:f>NOT(ISERROR(SEARCH($A$1,C1)))</xm:f>
            <xm:f>$A$1</xm:f>
            <x14:dxf>
              <font>
                <color rgb="FF9C0006"/>
              </font>
              <fill>
                <patternFill patternType="solid">
                  <bgColor rgb="FFFFC7CE"/>
                </patternFill>
              </fill>
            </x14:dxf>
          </x14:cfRule>
          <xm:sqref>C$1:C$1048576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/>
  <dimension ref="A1:BO186"/>
  <sheetViews>
    <sheetView showZeros="0" topLeftCell="L1" workbookViewId="0">
      <selection activeCell="C1458" sqref="C1458"/>
    </sheetView>
  </sheetViews>
  <sheetFormatPr defaultColWidth="11" defaultRowHeight="16.8"/>
  <cols>
    <col min="1" max="1" width="14.2222222222222" style="2" hidden="1" customWidth="1" outlineLevel="1"/>
    <col min="2" max="2" width="14.2222222222222" style="30" hidden="1" customWidth="1" outlineLevel="1"/>
    <col min="3" max="3" width="14" style="30" hidden="1" customWidth="1" outlineLevel="1"/>
    <col min="4" max="4" width="12" style="30" hidden="1" customWidth="1" outlineLevel="1"/>
    <col min="5" max="5" width="13.4444444444444" style="30" hidden="1" customWidth="1" outlineLevel="1"/>
    <col min="6" max="6" width="13.7777777777778" style="30" hidden="1" customWidth="1" outlineLevel="1"/>
    <col min="7" max="7" width="14.8888888888889" style="30" hidden="1" customWidth="1" outlineLevel="1"/>
    <col min="8" max="8" width="14.3333333333333" style="30" hidden="1" customWidth="1" outlineLevel="1"/>
    <col min="9" max="9" width="13.5555555555556" style="30" hidden="1" customWidth="1" outlineLevel="1"/>
    <col min="10" max="10" width="13.7777777777778" style="30" hidden="1" customWidth="1" outlineLevel="1"/>
    <col min="11" max="11" width="13.7777777777778" style="1" hidden="1" customWidth="1" outlineLevel="1"/>
    <col min="12" max="12" width="14.2222222222222" style="1" customWidth="1" collapsed="1"/>
    <col min="13" max="13" width="18.7777777777778" style="1" customWidth="1"/>
    <col min="14" max="22" width="10.6666666666667" style="1" customWidth="1" outlineLevel="1"/>
    <col min="23" max="23" width="14.5277777777778" style="1" customWidth="1" outlineLevel="1"/>
    <col min="24" max="66" width="10.6666666666667" style="1" customWidth="1" outlineLevel="1"/>
    <col min="67" max="16384" width="11" style="1"/>
  </cols>
  <sheetData>
    <row r="1" s="28" customFormat="1" ht="35.4" customHeight="1" spans="1:67">
      <c r="A1" s="32" t="s">
        <v>3269</v>
      </c>
      <c r="B1" s="42" t="s">
        <v>3270</v>
      </c>
      <c r="C1" s="42" t="s">
        <v>3271</v>
      </c>
      <c r="D1" s="42" t="s">
        <v>3272</v>
      </c>
      <c r="E1" s="42" t="s">
        <v>3273</v>
      </c>
      <c r="F1" s="42" t="s">
        <v>3274</v>
      </c>
      <c r="G1" s="42" t="s">
        <v>3275</v>
      </c>
      <c r="H1" s="42" t="s">
        <v>3276</v>
      </c>
      <c r="I1" s="42" t="s">
        <v>3277</v>
      </c>
      <c r="J1" s="42" t="s">
        <v>3278</v>
      </c>
      <c r="L1" s="28">
        <v>0</v>
      </c>
      <c r="M1" s="28" t="s">
        <v>1066</v>
      </c>
      <c r="N1" s="28" t="s">
        <v>358</v>
      </c>
      <c r="O1" s="28" t="s">
        <v>276</v>
      </c>
      <c r="P1" s="28" t="s">
        <v>3242</v>
      </c>
      <c r="Q1" s="28" t="s">
        <v>744</v>
      </c>
      <c r="R1" s="28" t="s">
        <v>254</v>
      </c>
      <c r="S1" s="28" t="s">
        <v>3279</v>
      </c>
      <c r="T1" s="28" t="s">
        <v>242</v>
      </c>
      <c r="U1" s="28" t="s">
        <v>3280</v>
      </c>
      <c r="V1" s="28" t="s">
        <v>3281</v>
      </c>
      <c r="W1" s="28" t="s">
        <v>3282</v>
      </c>
      <c r="X1" s="28" t="s">
        <v>3266</v>
      </c>
      <c r="Y1" s="28" t="s">
        <v>3267</v>
      </c>
      <c r="Z1" s="28" t="s">
        <v>2872</v>
      </c>
      <c r="AA1" s="28" t="s">
        <v>2874</v>
      </c>
      <c r="AB1" s="28" t="s">
        <v>2898</v>
      </c>
      <c r="AC1" s="28" t="s">
        <v>2906</v>
      </c>
      <c r="AD1" s="28" t="s">
        <v>3070</v>
      </c>
      <c r="AE1" s="28" t="s">
        <v>3074</v>
      </c>
      <c r="AF1" s="28" t="s">
        <v>3078</v>
      </c>
      <c r="AG1" s="28" t="s">
        <v>3082</v>
      </c>
      <c r="AH1" s="28" t="s">
        <v>3084</v>
      </c>
      <c r="AI1" s="28" t="s">
        <v>3112</v>
      </c>
      <c r="AJ1" s="28" t="s">
        <v>2947</v>
      </c>
      <c r="AK1" s="28" t="s">
        <v>3283</v>
      </c>
      <c r="AL1" s="28" t="s">
        <v>2949</v>
      </c>
      <c r="AM1" s="28" t="s">
        <v>3003</v>
      </c>
      <c r="AN1" s="28" t="s">
        <v>3284</v>
      </c>
      <c r="AO1" s="28" t="s">
        <v>3026</v>
      </c>
      <c r="AP1" s="28" t="s">
        <v>3028</v>
      </c>
      <c r="AQ1" s="28" t="s">
        <v>3179</v>
      </c>
      <c r="AR1" s="28" t="s">
        <v>3189</v>
      </c>
      <c r="AS1" s="28" t="s">
        <v>3285</v>
      </c>
      <c r="AT1" s="28" t="s">
        <v>3246</v>
      </c>
      <c r="AU1" s="28" t="s">
        <v>3244</v>
      </c>
      <c r="AV1" s="28" t="s">
        <v>3175</v>
      </c>
      <c r="AW1" s="28" t="s">
        <v>3171</v>
      </c>
      <c r="AX1" s="28" t="s">
        <v>654</v>
      </c>
      <c r="AY1" s="28" t="s">
        <v>660</v>
      </c>
      <c r="AZ1" s="28" t="s">
        <v>631</v>
      </c>
      <c r="BA1" s="28" t="s">
        <v>635</v>
      </c>
      <c r="BB1" s="28" t="s">
        <v>637</v>
      </c>
      <c r="BC1" s="28" t="s">
        <v>641</v>
      </c>
      <c r="BD1" s="28" t="s">
        <v>3262</v>
      </c>
      <c r="BE1" s="28" t="s">
        <v>3260</v>
      </c>
      <c r="BF1" s="28" t="s">
        <v>1985</v>
      </c>
      <c r="BG1" s="28" t="s">
        <v>3286</v>
      </c>
      <c r="BH1" s="28" t="s">
        <v>3287</v>
      </c>
      <c r="BI1" s="28" t="s">
        <v>3288</v>
      </c>
      <c r="BJ1" s="28" t="s">
        <v>3289</v>
      </c>
      <c r="BK1" s="28" t="s">
        <v>3290</v>
      </c>
      <c r="BL1" s="28" t="s">
        <v>3291</v>
      </c>
      <c r="BM1" s="28" t="s">
        <v>3292</v>
      </c>
      <c r="BN1" s="28" t="s">
        <v>3293</v>
      </c>
      <c r="BO1" s="28">
        <v>0</v>
      </c>
    </row>
    <row r="2" s="17" customFormat="1" spans="1:67">
      <c r="A2" s="19"/>
      <c r="B2" s="43"/>
      <c r="C2" s="43"/>
      <c r="D2" s="43"/>
      <c r="E2" s="43"/>
      <c r="F2" s="43"/>
      <c r="G2" s="43"/>
      <c r="H2" s="43"/>
      <c r="I2" s="43"/>
      <c r="J2" s="43"/>
      <c r="L2" s="17">
        <v>0</v>
      </c>
      <c r="M2" s="17" t="s">
        <v>3294</v>
      </c>
      <c r="N2" s="17">
        <v>2</v>
      </c>
      <c r="O2" s="17">
        <v>3</v>
      </c>
      <c r="P2" s="17">
        <v>4</v>
      </c>
      <c r="Q2" s="17">
        <v>5</v>
      </c>
      <c r="R2" s="17">
        <v>6</v>
      </c>
      <c r="S2" s="17">
        <v>7</v>
      </c>
      <c r="T2" s="17">
        <v>8</v>
      </c>
      <c r="U2" s="17">
        <v>9</v>
      </c>
      <c r="V2" s="17">
        <v>10</v>
      </c>
      <c r="W2" s="17">
        <v>11</v>
      </c>
      <c r="X2" s="17">
        <v>12</v>
      </c>
      <c r="Y2" s="17">
        <v>13</v>
      </c>
      <c r="Z2" s="17">
        <v>14</v>
      </c>
      <c r="AA2" s="17">
        <v>15</v>
      </c>
      <c r="AB2" s="17">
        <v>16</v>
      </c>
      <c r="AC2" s="17">
        <v>17</v>
      </c>
      <c r="AD2" s="17">
        <v>18</v>
      </c>
      <c r="AE2" s="17">
        <v>19</v>
      </c>
      <c r="AF2" s="17">
        <v>20</v>
      </c>
      <c r="AG2" s="17">
        <v>21</v>
      </c>
      <c r="AH2" s="17">
        <v>22</v>
      </c>
      <c r="AI2" s="17">
        <v>23</v>
      </c>
      <c r="AJ2" s="17">
        <v>24</v>
      </c>
      <c r="AK2" s="17">
        <v>25</v>
      </c>
      <c r="AL2" s="17">
        <v>26</v>
      </c>
      <c r="AM2" s="17">
        <v>27</v>
      </c>
      <c r="AN2" s="17">
        <v>28</v>
      </c>
      <c r="AO2" s="17">
        <v>29</v>
      </c>
      <c r="AP2" s="17">
        <v>30</v>
      </c>
      <c r="AQ2" s="17">
        <v>31</v>
      </c>
      <c r="AR2" s="17">
        <v>32</v>
      </c>
      <c r="AS2" s="17">
        <v>33</v>
      </c>
      <c r="AT2" s="17">
        <v>34</v>
      </c>
      <c r="AU2" s="17">
        <v>35</v>
      </c>
      <c r="AV2" s="17">
        <v>36</v>
      </c>
      <c r="AW2" s="17">
        <v>37</v>
      </c>
      <c r="AX2" s="17">
        <v>38</v>
      </c>
      <c r="AY2" s="17">
        <v>39</v>
      </c>
      <c r="AZ2" s="17">
        <v>40</v>
      </c>
      <c r="BA2" s="17">
        <v>41</v>
      </c>
      <c r="BB2" s="17">
        <v>42</v>
      </c>
      <c r="BC2" s="17">
        <v>43</v>
      </c>
      <c r="BD2" s="17">
        <v>44</v>
      </c>
      <c r="BE2" s="17">
        <v>45</v>
      </c>
      <c r="BF2" s="17">
        <v>46</v>
      </c>
      <c r="BG2" s="17">
        <v>47</v>
      </c>
      <c r="BH2" s="17">
        <v>48</v>
      </c>
      <c r="BI2" s="17">
        <v>49</v>
      </c>
      <c r="BJ2" s="17">
        <v>50</v>
      </c>
      <c r="BK2" s="17">
        <v>51</v>
      </c>
      <c r="BL2" s="17">
        <v>52</v>
      </c>
      <c r="BM2" s="17">
        <v>53</v>
      </c>
      <c r="BN2" s="17">
        <v>101</v>
      </c>
      <c r="BO2" s="17">
        <v>102</v>
      </c>
    </row>
    <row r="3" s="39" customFormat="1" spans="1:67">
      <c r="A3" s="44"/>
      <c r="B3" s="45"/>
      <c r="C3" s="45"/>
      <c r="D3" s="45"/>
      <c r="E3" s="45"/>
      <c r="F3" s="45"/>
      <c r="G3" s="45"/>
      <c r="H3" s="45"/>
      <c r="I3" s="45"/>
      <c r="J3" s="45"/>
      <c r="L3" s="39">
        <v>0</v>
      </c>
      <c r="M3" s="39" t="s">
        <v>3295</v>
      </c>
      <c r="N3" s="39">
        <v>6342.9</v>
      </c>
      <c r="O3" s="39">
        <v>554664.9</v>
      </c>
      <c r="P3" s="39">
        <v>159</v>
      </c>
      <c r="Q3" s="39">
        <v>12</v>
      </c>
      <c r="R3" s="39">
        <v>24</v>
      </c>
      <c r="S3" s="39">
        <v>15</v>
      </c>
      <c r="T3" s="39">
        <v>59</v>
      </c>
      <c r="U3" s="39">
        <v>0</v>
      </c>
      <c r="V3" s="39">
        <v>0</v>
      </c>
      <c r="W3" s="39">
        <v>94</v>
      </c>
      <c r="X3" s="39">
        <v>97</v>
      </c>
      <c r="Y3" s="39">
        <v>15</v>
      </c>
      <c r="Z3" s="39">
        <v>37</v>
      </c>
      <c r="AA3" s="39">
        <v>40</v>
      </c>
      <c r="AB3" s="39">
        <v>10</v>
      </c>
      <c r="AC3" s="39">
        <v>15</v>
      </c>
      <c r="AD3" s="39">
        <v>7</v>
      </c>
      <c r="AE3" s="39">
        <v>3</v>
      </c>
      <c r="AF3" s="39">
        <v>3</v>
      </c>
      <c r="AG3" s="39">
        <v>2</v>
      </c>
      <c r="AH3" s="39">
        <v>1</v>
      </c>
      <c r="AI3" s="39">
        <v>3</v>
      </c>
      <c r="AJ3" s="39">
        <v>15</v>
      </c>
      <c r="AK3" s="39">
        <v>14</v>
      </c>
      <c r="AL3" s="39">
        <v>10</v>
      </c>
      <c r="AM3" s="39">
        <v>5</v>
      </c>
      <c r="AN3" s="39">
        <v>10</v>
      </c>
      <c r="AO3" s="39">
        <v>150</v>
      </c>
      <c r="AP3" s="39">
        <v>9</v>
      </c>
      <c r="AQ3" s="39">
        <v>594</v>
      </c>
      <c r="AR3" s="39">
        <v>93</v>
      </c>
      <c r="AS3" s="39">
        <v>0</v>
      </c>
      <c r="AT3" s="39">
        <v>19</v>
      </c>
      <c r="AU3" s="39">
        <v>96</v>
      </c>
      <c r="AV3" s="39">
        <v>29</v>
      </c>
      <c r="AW3" s="39">
        <v>163</v>
      </c>
      <c r="AX3" s="39">
        <v>56</v>
      </c>
      <c r="AY3" s="39">
        <v>47</v>
      </c>
      <c r="AZ3" s="39">
        <v>10</v>
      </c>
      <c r="BA3" s="39">
        <v>4</v>
      </c>
      <c r="BB3" s="39">
        <v>70</v>
      </c>
      <c r="BC3" s="39">
        <v>100</v>
      </c>
      <c r="BD3" s="39">
        <v>54</v>
      </c>
      <c r="BE3" s="39">
        <v>540</v>
      </c>
      <c r="BF3" s="39">
        <v>3</v>
      </c>
      <c r="BG3" s="39">
        <v>6</v>
      </c>
      <c r="BH3" s="39">
        <v>42</v>
      </c>
      <c r="BI3" s="39">
        <v>74</v>
      </c>
      <c r="BJ3" s="39">
        <v>3</v>
      </c>
      <c r="BK3" s="39">
        <v>347</v>
      </c>
      <c r="BL3" s="39">
        <v>353</v>
      </c>
      <c r="BM3" s="39">
        <v>14.7</v>
      </c>
      <c r="BN3" s="39">
        <v>0</v>
      </c>
      <c r="BO3" s="39">
        <v>0</v>
      </c>
    </row>
    <row r="4" s="40" customFormat="1" ht="69.6" customHeight="1" spans="1:67">
      <c r="A4" s="46"/>
      <c r="B4" s="47"/>
      <c r="C4" s="47"/>
      <c r="D4" s="47"/>
      <c r="E4" s="47"/>
      <c r="F4" s="47"/>
      <c r="G4" s="47"/>
      <c r="H4" s="47"/>
      <c r="I4" s="47"/>
      <c r="J4" s="47"/>
      <c r="L4" s="40">
        <v>0</v>
      </c>
      <c r="M4" s="40" t="s">
        <v>3296</v>
      </c>
      <c r="N4" s="40" t="s">
        <v>3297</v>
      </c>
      <c r="O4" s="40">
        <v>0</v>
      </c>
      <c r="P4" s="40" t="s">
        <v>3298</v>
      </c>
      <c r="Q4" s="40" t="s">
        <v>3299</v>
      </c>
      <c r="R4" s="40" t="s">
        <v>3300</v>
      </c>
      <c r="S4" s="40" t="s">
        <v>3279</v>
      </c>
      <c r="T4" s="40" t="s">
        <v>3301</v>
      </c>
      <c r="U4" s="40" t="s">
        <v>3280</v>
      </c>
      <c r="V4" s="40" t="s">
        <v>3281</v>
      </c>
      <c r="W4" s="40" t="s">
        <v>3302</v>
      </c>
      <c r="X4" s="40">
        <v>0</v>
      </c>
      <c r="Y4" s="40">
        <v>0</v>
      </c>
      <c r="Z4" s="40">
        <v>0</v>
      </c>
      <c r="AA4" s="40" t="s">
        <v>3303</v>
      </c>
      <c r="AB4" s="40">
        <v>0</v>
      </c>
      <c r="AC4" s="40">
        <v>0</v>
      </c>
      <c r="AD4" s="40">
        <v>0</v>
      </c>
      <c r="AE4" s="40">
        <v>0</v>
      </c>
      <c r="AF4" s="40">
        <v>0</v>
      </c>
      <c r="AG4" s="40">
        <v>0</v>
      </c>
      <c r="AH4" s="40">
        <v>0</v>
      </c>
      <c r="AI4" s="40">
        <v>0</v>
      </c>
      <c r="AJ4" s="40" t="s">
        <v>3304</v>
      </c>
      <c r="AK4" s="40" t="s">
        <v>3305</v>
      </c>
      <c r="AL4" s="40" t="s">
        <v>3306</v>
      </c>
      <c r="AM4" s="40" t="s">
        <v>3307</v>
      </c>
      <c r="AN4" s="40">
        <v>0</v>
      </c>
      <c r="AO4" s="40">
        <v>0</v>
      </c>
      <c r="AP4" s="40">
        <v>0</v>
      </c>
      <c r="AQ4" s="40" t="s">
        <v>3308</v>
      </c>
      <c r="AR4" s="40" t="s">
        <v>3309</v>
      </c>
      <c r="AS4" s="40" t="s">
        <v>3285</v>
      </c>
      <c r="AT4" s="40" t="s">
        <v>3310</v>
      </c>
      <c r="AU4" s="40" t="s">
        <v>3311</v>
      </c>
      <c r="AV4" s="40" t="s">
        <v>3312</v>
      </c>
      <c r="AW4" s="40" t="s">
        <v>3313</v>
      </c>
      <c r="AX4" s="40" t="s">
        <v>3314</v>
      </c>
      <c r="AY4" s="40" t="s">
        <v>3315</v>
      </c>
      <c r="AZ4" s="40" t="s">
        <v>3316</v>
      </c>
      <c r="BA4" s="40" t="s">
        <v>3317</v>
      </c>
      <c r="BB4" s="40" t="s">
        <v>3318</v>
      </c>
      <c r="BC4" s="40" t="s">
        <v>3319</v>
      </c>
      <c r="BD4" s="40" t="s">
        <v>3320</v>
      </c>
      <c r="BE4" s="40" t="s">
        <v>3321</v>
      </c>
      <c r="BF4" s="40" t="s">
        <v>1982</v>
      </c>
      <c r="BG4" s="40" t="s">
        <v>3286</v>
      </c>
      <c r="BH4" s="40" t="s">
        <v>3322</v>
      </c>
      <c r="BI4" s="40" t="s">
        <v>3288</v>
      </c>
      <c r="BJ4" s="40" t="s">
        <v>3289</v>
      </c>
      <c r="BK4" s="40" t="s">
        <v>3290</v>
      </c>
      <c r="BL4" s="40" t="s">
        <v>3291</v>
      </c>
      <c r="BM4" s="40" t="s">
        <v>3292</v>
      </c>
      <c r="BN4" s="40" t="s">
        <v>3293</v>
      </c>
      <c r="BO4" s="40">
        <v>0</v>
      </c>
    </row>
    <row r="5" s="41" customFormat="1" ht="28.2" customHeight="1" spans="1:67">
      <c r="A5" s="48"/>
      <c r="B5" s="49"/>
      <c r="C5" s="49"/>
      <c r="D5" s="49"/>
      <c r="E5" s="49"/>
      <c r="F5" s="49"/>
      <c r="G5" s="49"/>
      <c r="H5" s="49"/>
      <c r="I5" s="49"/>
      <c r="J5" s="49"/>
      <c r="L5" s="41">
        <v>0</v>
      </c>
      <c r="M5" s="41">
        <v>0</v>
      </c>
      <c r="N5" s="41" t="s">
        <v>358</v>
      </c>
      <c r="O5" s="41" t="s">
        <v>276</v>
      </c>
      <c r="P5" s="41" t="s">
        <v>3242</v>
      </c>
      <c r="Q5" s="41" t="s">
        <v>744</v>
      </c>
      <c r="R5" s="41" t="s">
        <v>254</v>
      </c>
      <c r="S5" s="41">
        <v>0</v>
      </c>
      <c r="T5" s="41" t="s">
        <v>242</v>
      </c>
      <c r="U5" s="41">
        <v>0</v>
      </c>
      <c r="V5" s="41">
        <v>0</v>
      </c>
      <c r="W5" s="41" t="s">
        <v>3282</v>
      </c>
      <c r="X5" s="41" t="s">
        <v>3266</v>
      </c>
      <c r="Y5" s="41" t="s">
        <v>3267</v>
      </c>
      <c r="Z5" s="41" t="s">
        <v>2872</v>
      </c>
      <c r="AA5" s="41" t="s">
        <v>2874</v>
      </c>
      <c r="AB5" s="41" t="s">
        <v>2898</v>
      </c>
      <c r="AC5" s="41" t="s">
        <v>2906</v>
      </c>
      <c r="AD5" s="41" t="s">
        <v>3070</v>
      </c>
      <c r="AE5" s="41" t="s">
        <v>3074</v>
      </c>
      <c r="AF5" s="41" t="s">
        <v>3078</v>
      </c>
      <c r="AG5" s="41" t="s">
        <v>3082</v>
      </c>
      <c r="AH5" s="41" t="s">
        <v>3084</v>
      </c>
      <c r="AI5" s="41" t="s">
        <v>3112</v>
      </c>
      <c r="AJ5" s="41" t="s">
        <v>2947</v>
      </c>
      <c r="AK5" s="41" t="s">
        <v>3283</v>
      </c>
      <c r="AL5" s="41" t="s">
        <v>2949</v>
      </c>
      <c r="AM5" s="41" t="s">
        <v>3003</v>
      </c>
      <c r="AN5" s="41" t="s">
        <v>3284</v>
      </c>
      <c r="AO5" s="41" t="s">
        <v>3026</v>
      </c>
      <c r="AP5" s="41" t="s">
        <v>3028</v>
      </c>
      <c r="AQ5" s="41" t="s">
        <v>3179</v>
      </c>
      <c r="AR5" s="41" t="s">
        <v>3199</v>
      </c>
      <c r="AS5" s="41">
        <v>0</v>
      </c>
      <c r="AT5" s="41" t="s">
        <v>3246</v>
      </c>
      <c r="AU5" s="41" t="s">
        <v>3244</v>
      </c>
      <c r="AV5" s="41" t="s">
        <v>3175</v>
      </c>
      <c r="AW5" s="41" t="s">
        <v>3171</v>
      </c>
      <c r="AX5" s="41" t="s">
        <v>654</v>
      </c>
      <c r="AY5" s="41" t="s">
        <v>660</v>
      </c>
      <c r="AZ5" s="41" t="s">
        <v>631</v>
      </c>
      <c r="BA5" s="41" t="s">
        <v>635</v>
      </c>
      <c r="BB5" s="41" t="s">
        <v>637</v>
      </c>
      <c r="BC5" s="41" t="s">
        <v>641</v>
      </c>
      <c r="BD5" s="41" t="s">
        <v>3262</v>
      </c>
      <c r="BE5" s="41" t="s">
        <v>3260</v>
      </c>
      <c r="BF5" s="41" t="s">
        <v>1985</v>
      </c>
      <c r="BG5" s="41">
        <v>0</v>
      </c>
      <c r="BH5" s="41" t="s">
        <v>3287</v>
      </c>
      <c r="BI5" s="41">
        <v>0</v>
      </c>
      <c r="BJ5" s="41">
        <v>0</v>
      </c>
      <c r="BK5" s="41">
        <v>0</v>
      </c>
      <c r="BL5" s="41">
        <v>0</v>
      </c>
      <c r="BM5" s="41">
        <v>0</v>
      </c>
      <c r="BN5" s="41">
        <v>0</v>
      </c>
      <c r="BO5" s="41" t="s">
        <v>28</v>
      </c>
    </row>
    <row r="6" hidden="1" spans="1:67">
      <c r="A6" s="18"/>
      <c r="B6" s="18"/>
      <c r="C6" s="18"/>
      <c r="D6" s="18"/>
      <c r="E6" s="18"/>
      <c r="F6" s="18"/>
      <c r="G6" s="18"/>
      <c r="H6" s="18"/>
      <c r="I6" s="18"/>
      <c r="J6" s="18"/>
      <c r="L6" s="1">
        <v>0</v>
      </c>
      <c r="M6" s="29" t="s">
        <v>3323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0</v>
      </c>
      <c r="BM6" s="1">
        <v>0</v>
      </c>
      <c r="BN6" s="1">
        <v>0</v>
      </c>
      <c r="BO6" s="1">
        <v>0</v>
      </c>
    </row>
    <row r="7" hidden="1" spans="1:67">
      <c r="A7" s="18">
        <v>43703</v>
      </c>
      <c r="B7" s="18">
        <v>43717</v>
      </c>
      <c r="C7" s="18">
        <v>43744</v>
      </c>
      <c r="D7" s="18">
        <f ca="1" t="shared" ref="D7:I7" si="0">C7</f>
        <v>43744</v>
      </c>
      <c r="E7" s="18">
        <v>43752</v>
      </c>
      <c r="F7" s="18">
        <f ca="1" t="shared" si="0"/>
        <v>43752</v>
      </c>
      <c r="G7" s="18">
        <v>43757</v>
      </c>
      <c r="H7" s="18">
        <v>43757</v>
      </c>
      <c r="I7" s="18">
        <f ca="1" t="shared" si="0"/>
        <v>43757</v>
      </c>
      <c r="J7" s="18">
        <f ca="1" t="shared" ref="J7:J70" si="1">H7</f>
        <v>43757</v>
      </c>
      <c r="L7" s="1">
        <v>0</v>
      </c>
      <c r="M7" s="1">
        <v>89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 t="s">
        <v>3324</v>
      </c>
      <c r="V7" s="1" t="s">
        <v>3324</v>
      </c>
      <c r="W7" s="1">
        <v>2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1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3</v>
      </c>
      <c r="AS7" s="1">
        <v>0</v>
      </c>
      <c r="AT7" s="1">
        <v>0</v>
      </c>
      <c r="AU7" s="1">
        <v>3</v>
      </c>
      <c r="AV7" s="1">
        <v>1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2</v>
      </c>
      <c r="BC7" s="1">
        <v>12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0</v>
      </c>
      <c r="BN7" s="1" t="s">
        <v>3325</v>
      </c>
      <c r="BO7" s="1">
        <v>0</v>
      </c>
    </row>
    <row r="8" hidden="1" spans="1:67">
      <c r="A8" s="18">
        <v>43703</v>
      </c>
      <c r="B8" s="18">
        <v>43717</v>
      </c>
      <c r="C8" s="18">
        <v>43744</v>
      </c>
      <c r="D8" s="18">
        <f ca="1" t="shared" ref="D8:I8" si="2">C8</f>
        <v>43744</v>
      </c>
      <c r="E8" s="18">
        <v>43752</v>
      </c>
      <c r="F8" s="18">
        <f ca="1" t="shared" si="2"/>
        <v>43752</v>
      </c>
      <c r="G8" s="18">
        <v>43744</v>
      </c>
      <c r="H8" s="18">
        <v>43757</v>
      </c>
      <c r="I8" s="18">
        <f ca="1" t="shared" si="2"/>
        <v>43757</v>
      </c>
      <c r="J8" s="18">
        <f ca="1" t="shared" si="1"/>
        <v>43757</v>
      </c>
      <c r="L8" s="1">
        <v>28</v>
      </c>
      <c r="M8" s="1" t="s">
        <v>3326</v>
      </c>
      <c r="N8" s="1">
        <v>23.9</v>
      </c>
      <c r="O8" s="1">
        <v>28</v>
      </c>
      <c r="P8" s="1">
        <v>0</v>
      </c>
      <c r="Q8" s="1">
        <v>0</v>
      </c>
      <c r="R8" s="1">
        <v>12</v>
      </c>
      <c r="S8" s="1">
        <v>6</v>
      </c>
      <c r="T8" s="1">
        <v>0</v>
      </c>
      <c r="U8" s="1">
        <v>0</v>
      </c>
      <c r="V8" s="1" t="s">
        <v>3324</v>
      </c>
      <c r="W8" s="1">
        <v>0</v>
      </c>
      <c r="X8" s="1">
        <v>2</v>
      </c>
      <c r="Y8" s="1">
        <v>0</v>
      </c>
      <c r="Z8" s="1">
        <v>0</v>
      </c>
      <c r="AA8" s="1">
        <v>0</v>
      </c>
      <c r="AB8" s="1">
        <v>1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1</v>
      </c>
      <c r="AO8" s="1">
        <v>0</v>
      </c>
      <c r="AP8" s="1">
        <v>0</v>
      </c>
      <c r="AQ8" s="1">
        <v>6</v>
      </c>
      <c r="AR8" s="1">
        <v>9</v>
      </c>
      <c r="AS8" s="1">
        <v>0</v>
      </c>
      <c r="AT8" s="1">
        <v>0</v>
      </c>
      <c r="AU8" s="1">
        <v>6</v>
      </c>
      <c r="AV8" s="1">
        <v>0</v>
      </c>
      <c r="AW8" s="1">
        <v>1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6</v>
      </c>
      <c r="BD8" s="1">
        <v>0</v>
      </c>
      <c r="BE8" s="1">
        <v>6</v>
      </c>
      <c r="BF8" s="1">
        <v>0</v>
      </c>
      <c r="BG8" s="1">
        <v>0</v>
      </c>
      <c r="BH8" s="1">
        <v>0</v>
      </c>
      <c r="BI8" s="1">
        <v>2</v>
      </c>
      <c r="BJ8" s="1">
        <v>0</v>
      </c>
      <c r="BK8" s="1">
        <v>4</v>
      </c>
      <c r="BL8" s="1">
        <v>5</v>
      </c>
      <c r="BM8" s="1">
        <v>0</v>
      </c>
      <c r="BN8" s="1">
        <v>0</v>
      </c>
      <c r="BO8" s="1">
        <v>0</v>
      </c>
    </row>
    <row r="9" hidden="1" spans="1:67">
      <c r="A9" s="18">
        <v>43703</v>
      </c>
      <c r="B9" s="18">
        <v>43717</v>
      </c>
      <c r="C9" s="18">
        <v>43744</v>
      </c>
      <c r="D9" s="18">
        <f ca="1" t="shared" ref="D9:I9" si="3">C9</f>
        <v>43744</v>
      </c>
      <c r="E9" s="18">
        <v>43752</v>
      </c>
      <c r="F9" s="18">
        <f ca="1" t="shared" si="3"/>
        <v>43752</v>
      </c>
      <c r="G9" s="18">
        <v>43757</v>
      </c>
      <c r="H9" s="18">
        <v>43757</v>
      </c>
      <c r="I9" s="18">
        <f ca="1" t="shared" si="3"/>
        <v>43757</v>
      </c>
      <c r="J9" s="18">
        <f ca="1" t="shared" si="1"/>
        <v>43757</v>
      </c>
      <c r="L9" s="1">
        <v>28.9</v>
      </c>
      <c r="M9" s="1">
        <v>90</v>
      </c>
      <c r="N9" s="1">
        <v>28.1</v>
      </c>
      <c r="O9" s="1">
        <v>56.9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 t="s">
        <v>3327</v>
      </c>
      <c r="V9" s="1" t="s">
        <v>3327</v>
      </c>
      <c r="W9" s="1">
        <v>1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1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1</v>
      </c>
      <c r="AQ9" s="1">
        <v>6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1</v>
      </c>
      <c r="AX9" s="1">
        <v>3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6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1">
        <v>0</v>
      </c>
      <c r="BM9" s="1">
        <v>0</v>
      </c>
      <c r="BN9" s="1">
        <v>0</v>
      </c>
      <c r="BO9" s="1">
        <v>0</v>
      </c>
    </row>
    <row r="10" hidden="1" spans="1:67">
      <c r="A10" s="18">
        <v>43703</v>
      </c>
      <c r="B10" s="18">
        <v>43717</v>
      </c>
      <c r="C10" s="18">
        <v>43744</v>
      </c>
      <c r="D10" s="18">
        <f ca="1" t="shared" ref="D10:I10" si="4">C10</f>
        <v>43744</v>
      </c>
      <c r="E10" s="18">
        <v>43752</v>
      </c>
      <c r="F10" s="18">
        <f ca="1" t="shared" si="4"/>
        <v>43752</v>
      </c>
      <c r="G10" s="18">
        <v>43744</v>
      </c>
      <c r="H10" s="18">
        <v>43757</v>
      </c>
      <c r="I10" s="18">
        <f ca="1" t="shared" si="4"/>
        <v>43757</v>
      </c>
      <c r="J10" s="18">
        <f ca="1" t="shared" si="1"/>
        <v>43757</v>
      </c>
      <c r="L10" s="1">
        <v>35</v>
      </c>
      <c r="M10" s="1" t="s">
        <v>3328</v>
      </c>
      <c r="N10" s="1">
        <v>41.2</v>
      </c>
      <c r="O10" s="1">
        <v>91.9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 t="s">
        <v>3329</v>
      </c>
      <c r="W10" s="1">
        <v>0</v>
      </c>
      <c r="X10" s="1">
        <v>1</v>
      </c>
      <c r="Y10" s="1">
        <v>0</v>
      </c>
      <c r="Z10" s="1">
        <v>1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1</v>
      </c>
      <c r="AP10" s="1">
        <v>0</v>
      </c>
      <c r="AQ10" s="1">
        <v>3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1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3</v>
      </c>
      <c r="BF10" s="1">
        <v>0</v>
      </c>
      <c r="BG10" s="1">
        <v>0</v>
      </c>
      <c r="BH10" s="1">
        <v>0</v>
      </c>
      <c r="BI10" s="1">
        <v>2</v>
      </c>
      <c r="BJ10" s="1">
        <v>0</v>
      </c>
      <c r="BK10" s="1">
        <v>10</v>
      </c>
      <c r="BL10" s="1">
        <v>10</v>
      </c>
      <c r="BM10" s="1">
        <v>0</v>
      </c>
      <c r="BN10" s="1">
        <v>0</v>
      </c>
      <c r="BO10" s="1">
        <v>0</v>
      </c>
    </row>
    <row r="11" hidden="1" spans="1:67">
      <c r="A11" s="18">
        <v>43703</v>
      </c>
      <c r="B11" s="18">
        <v>43717</v>
      </c>
      <c r="C11" s="18">
        <v>43744</v>
      </c>
      <c r="D11" s="18">
        <f ca="1" t="shared" ref="D11:I11" si="5">C11</f>
        <v>43744</v>
      </c>
      <c r="E11" s="18">
        <v>43752</v>
      </c>
      <c r="F11" s="18">
        <f ca="1" t="shared" si="5"/>
        <v>43752</v>
      </c>
      <c r="G11" s="18">
        <v>43757</v>
      </c>
      <c r="H11" s="18">
        <v>43757</v>
      </c>
      <c r="I11" s="18">
        <f ca="1" t="shared" si="5"/>
        <v>43757</v>
      </c>
      <c r="J11" s="18">
        <f ca="1" t="shared" si="1"/>
        <v>43757</v>
      </c>
      <c r="L11" s="1">
        <v>33.9</v>
      </c>
      <c r="M11" s="1">
        <v>91</v>
      </c>
      <c r="N11" s="1">
        <v>32.4</v>
      </c>
      <c r="O11" s="1">
        <v>125.8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 t="s">
        <v>3329</v>
      </c>
      <c r="V11" s="1" t="s">
        <v>3329</v>
      </c>
      <c r="W11" s="1">
        <v>1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1</v>
      </c>
      <c r="AL11" s="1">
        <v>0</v>
      </c>
      <c r="AM11" s="1">
        <v>0</v>
      </c>
      <c r="AN11" s="1">
        <v>0</v>
      </c>
      <c r="AO11" s="1">
        <v>1</v>
      </c>
      <c r="AP11" s="1">
        <v>0</v>
      </c>
      <c r="AQ11" s="1">
        <v>3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1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3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</row>
    <row r="12" hidden="1" spans="1:67">
      <c r="A12" s="18">
        <v>43703</v>
      </c>
      <c r="B12" s="18">
        <v>43717</v>
      </c>
      <c r="C12" s="18">
        <v>43744</v>
      </c>
      <c r="D12" s="18">
        <f ca="1" t="shared" ref="D12:I12" si="6">C12</f>
        <v>43744</v>
      </c>
      <c r="E12" s="18">
        <v>43752</v>
      </c>
      <c r="F12" s="18">
        <f ca="1" t="shared" si="6"/>
        <v>43752</v>
      </c>
      <c r="G12" s="18">
        <v>43744</v>
      </c>
      <c r="H12" s="18">
        <v>43757</v>
      </c>
      <c r="I12" s="18">
        <f ca="1" t="shared" si="6"/>
        <v>43757</v>
      </c>
      <c r="J12" s="18">
        <f ca="1" t="shared" si="1"/>
        <v>43757</v>
      </c>
      <c r="L12" s="1">
        <v>41</v>
      </c>
      <c r="M12" s="1" t="s">
        <v>3330</v>
      </c>
      <c r="N12" s="1">
        <v>43.8</v>
      </c>
      <c r="O12" s="1">
        <v>166.8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 t="s">
        <v>3329</v>
      </c>
      <c r="W12" s="1">
        <v>0</v>
      </c>
      <c r="X12" s="1">
        <v>1</v>
      </c>
      <c r="Y12" s="1">
        <v>0</v>
      </c>
      <c r="Z12" s="1">
        <v>1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1</v>
      </c>
      <c r="AP12" s="1">
        <v>0</v>
      </c>
      <c r="AQ12" s="1">
        <v>3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1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3</v>
      </c>
      <c r="BF12" s="1">
        <v>0</v>
      </c>
      <c r="BG12" s="1">
        <v>0</v>
      </c>
      <c r="BH12" s="1">
        <v>0</v>
      </c>
      <c r="BI12" s="1">
        <v>2</v>
      </c>
      <c r="BJ12" s="1">
        <v>0</v>
      </c>
      <c r="BK12" s="1">
        <v>15</v>
      </c>
      <c r="BL12" s="1">
        <v>15</v>
      </c>
      <c r="BM12" s="1">
        <v>0</v>
      </c>
      <c r="BN12" s="1">
        <v>0</v>
      </c>
      <c r="BO12" s="1">
        <v>0</v>
      </c>
    </row>
    <row r="13" hidden="1" spans="1:67">
      <c r="A13" s="18">
        <v>43703</v>
      </c>
      <c r="B13" s="18">
        <v>43717</v>
      </c>
      <c r="C13" s="18">
        <v>43744</v>
      </c>
      <c r="D13" s="18">
        <f ca="1" t="shared" ref="D13:I13" si="7">C13</f>
        <v>43744</v>
      </c>
      <c r="E13" s="18">
        <v>43752</v>
      </c>
      <c r="F13" s="18">
        <f ca="1" t="shared" si="7"/>
        <v>43752</v>
      </c>
      <c r="G13" s="18">
        <v>43757</v>
      </c>
      <c r="H13" s="18">
        <v>43757</v>
      </c>
      <c r="I13" s="18">
        <f ca="1" t="shared" si="7"/>
        <v>43757</v>
      </c>
      <c r="J13" s="18">
        <f ca="1" t="shared" si="1"/>
        <v>43757</v>
      </c>
      <c r="L13" s="1">
        <v>40.1</v>
      </c>
      <c r="M13" s="1">
        <v>92</v>
      </c>
      <c r="N13" s="1">
        <v>34.6</v>
      </c>
      <c r="O13" s="1">
        <v>206.9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 t="s">
        <v>3329</v>
      </c>
      <c r="V13" s="1" t="s">
        <v>3329</v>
      </c>
      <c r="W13" s="1">
        <v>1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1</v>
      </c>
      <c r="AP13" s="1">
        <v>0</v>
      </c>
      <c r="AQ13" s="1">
        <v>3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1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3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</row>
    <row r="14" hidden="1" spans="1:67">
      <c r="A14" s="18">
        <v>43703</v>
      </c>
      <c r="B14" s="18">
        <v>43717</v>
      </c>
      <c r="C14" s="18">
        <v>43744</v>
      </c>
      <c r="D14" s="18">
        <f ca="1" t="shared" ref="D14:I14" si="8">C14</f>
        <v>43744</v>
      </c>
      <c r="E14" s="18">
        <v>43752</v>
      </c>
      <c r="F14" s="18">
        <f ca="1" t="shared" si="8"/>
        <v>43752</v>
      </c>
      <c r="G14" s="18">
        <v>43744</v>
      </c>
      <c r="H14" s="18">
        <v>43757</v>
      </c>
      <c r="I14" s="18">
        <f ca="1" t="shared" si="8"/>
        <v>43757</v>
      </c>
      <c r="J14" s="18">
        <f ca="1" t="shared" si="1"/>
        <v>43757</v>
      </c>
      <c r="L14" s="1">
        <v>40</v>
      </c>
      <c r="M14" s="1" t="s">
        <v>3331</v>
      </c>
      <c r="N14" s="1">
        <v>44.2</v>
      </c>
      <c r="O14" s="1">
        <v>246.9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 t="s">
        <v>3329</v>
      </c>
      <c r="W14" s="1">
        <v>0</v>
      </c>
      <c r="X14" s="1">
        <v>1</v>
      </c>
      <c r="Y14" s="1">
        <v>0</v>
      </c>
      <c r="Z14" s="1">
        <v>0</v>
      </c>
      <c r="AA14" s="1">
        <v>1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1</v>
      </c>
      <c r="AP14" s="1">
        <v>0</v>
      </c>
      <c r="AQ14" s="1">
        <v>3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1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3</v>
      </c>
      <c r="BF14" s="1">
        <v>0</v>
      </c>
      <c r="BG14" s="1">
        <v>0</v>
      </c>
      <c r="BH14" s="1">
        <v>0</v>
      </c>
      <c r="BI14" s="1">
        <v>2</v>
      </c>
      <c r="BJ14" s="1">
        <v>0</v>
      </c>
      <c r="BK14" s="1">
        <v>2</v>
      </c>
      <c r="BL14" s="1">
        <v>5</v>
      </c>
      <c r="BM14" s="1">
        <v>0</v>
      </c>
      <c r="BN14" s="1">
        <v>0</v>
      </c>
      <c r="BO14" s="1">
        <v>0</v>
      </c>
    </row>
    <row r="15" hidden="1" spans="1:67">
      <c r="A15" s="18">
        <v>43703</v>
      </c>
      <c r="B15" s="18">
        <v>43717</v>
      </c>
      <c r="C15" s="18">
        <v>43744</v>
      </c>
      <c r="D15" s="18">
        <f ca="1" t="shared" ref="D15:I15" si="9">C15</f>
        <v>43744</v>
      </c>
      <c r="E15" s="18">
        <v>43752</v>
      </c>
      <c r="F15" s="18">
        <f ca="1" t="shared" si="9"/>
        <v>43752</v>
      </c>
      <c r="G15" s="18">
        <v>43757</v>
      </c>
      <c r="H15" s="18">
        <v>43757</v>
      </c>
      <c r="I15" s="18">
        <f ca="1" t="shared" si="9"/>
        <v>43757</v>
      </c>
      <c r="J15" s="18">
        <f ca="1" t="shared" si="1"/>
        <v>43757</v>
      </c>
      <c r="L15" s="1">
        <v>39.6</v>
      </c>
      <c r="M15" s="1">
        <v>93</v>
      </c>
      <c r="N15" s="1">
        <v>36.2</v>
      </c>
      <c r="O15" s="1">
        <v>286.5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 t="s">
        <v>3329</v>
      </c>
      <c r="V15" s="1" t="s">
        <v>3329</v>
      </c>
      <c r="W15" s="1">
        <v>1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1</v>
      </c>
      <c r="AP15" s="1">
        <v>0</v>
      </c>
      <c r="AQ15" s="1">
        <v>3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1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3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0</v>
      </c>
      <c r="BN15" s="1">
        <v>0</v>
      </c>
      <c r="BO15" s="1">
        <v>0</v>
      </c>
    </row>
    <row r="16" hidden="1" spans="1:67">
      <c r="A16" s="18">
        <v>43703</v>
      </c>
      <c r="B16" s="18">
        <v>43717</v>
      </c>
      <c r="C16" s="18">
        <v>43744</v>
      </c>
      <c r="D16" s="18">
        <f ca="1" t="shared" ref="D16:I16" si="10">C16</f>
        <v>43744</v>
      </c>
      <c r="E16" s="18">
        <v>43752</v>
      </c>
      <c r="F16" s="18">
        <f ca="1" t="shared" si="10"/>
        <v>43752</v>
      </c>
      <c r="G16" s="18">
        <v>43744</v>
      </c>
      <c r="H16" s="18">
        <v>43757</v>
      </c>
      <c r="I16" s="18">
        <f ca="1" t="shared" si="10"/>
        <v>43757</v>
      </c>
      <c r="J16" s="18">
        <f ca="1" t="shared" si="1"/>
        <v>43757</v>
      </c>
      <c r="L16" s="1">
        <v>39</v>
      </c>
      <c r="M16" s="1" t="s">
        <v>3332</v>
      </c>
      <c r="N16" s="1">
        <v>44.1</v>
      </c>
      <c r="O16" s="1">
        <v>325.5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 t="s">
        <v>3329</v>
      </c>
      <c r="W16" s="1">
        <v>0</v>
      </c>
      <c r="X16" s="1">
        <v>1</v>
      </c>
      <c r="Y16" s="1">
        <v>0</v>
      </c>
      <c r="Z16" s="1">
        <v>0</v>
      </c>
      <c r="AA16" s="1">
        <v>1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1</v>
      </c>
      <c r="AP16" s="1">
        <v>0</v>
      </c>
      <c r="AQ16" s="1">
        <v>3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1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3</v>
      </c>
      <c r="BF16" s="1">
        <v>0</v>
      </c>
      <c r="BG16" s="1">
        <v>0</v>
      </c>
      <c r="BH16" s="1">
        <v>0</v>
      </c>
      <c r="BI16" s="1">
        <v>2</v>
      </c>
      <c r="BJ16" s="1">
        <v>0</v>
      </c>
      <c r="BK16" s="1">
        <v>5</v>
      </c>
      <c r="BL16" s="1">
        <v>5</v>
      </c>
      <c r="BM16" s="1">
        <v>0</v>
      </c>
      <c r="BN16" s="1">
        <v>0</v>
      </c>
      <c r="BO16" s="1">
        <v>0</v>
      </c>
    </row>
    <row r="17" hidden="1" spans="1:67">
      <c r="A17" s="18">
        <v>43704</v>
      </c>
      <c r="B17" s="18">
        <v>43717</v>
      </c>
      <c r="C17" s="18">
        <v>43744</v>
      </c>
      <c r="D17" s="18">
        <f ca="1" t="shared" ref="D17:I17" si="11">C17</f>
        <v>43744</v>
      </c>
      <c r="E17" s="18">
        <v>43752</v>
      </c>
      <c r="F17" s="18">
        <f ca="1" t="shared" si="11"/>
        <v>43752</v>
      </c>
      <c r="G17" s="18">
        <v>43757</v>
      </c>
      <c r="H17" s="18">
        <v>43757</v>
      </c>
      <c r="I17" s="18">
        <f ca="1" t="shared" si="11"/>
        <v>43757</v>
      </c>
      <c r="J17" s="18">
        <f ca="1" t="shared" si="1"/>
        <v>43757</v>
      </c>
      <c r="L17" s="1">
        <v>39.8</v>
      </c>
      <c r="M17" s="1">
        <v>94</v>
      </c>
      <c r="N17" s="1">
        <v>32.1</v>
      </c>
      <c r="O17" s="1">
        <v>365.3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 t="s">
        <v>3329</v>
      </c>
      <c r="V17" s="1" t="s">
        <v>3329</v>
      </c>
      <c r="W17" s="1">
        <v>1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1</v>
      </c>
      <c r="AP17" s="1">
        <v>0</v>
      </c>
      <c r="AQ17" s="1">
        <v>3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1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3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</row>
    <row r="18" hidden="1" spans="1:67">
      <c r="A18" s="18">
        <v>43704</v>
      </c>
      <c r="B18" s="18">
        <v>43717</v>
      </c>
      <c r="C18" s="18">
        <v>43744</v>
      </c>
      <c r="D18" s="18">
        <f ca="1" t="shared" ref="D18:I18" si="12">C18</f>
        <v>43744</v>
      </c>
      <c r="E18" s="18">
        <v>43752</v>
      </c>
      <c r="F18" s="18">
        <f ca="1" t="shared" si="12"/>
        <v>43752</v>
      </c>
      <c r="G18" s="18">
        <v>43744</v>
      </c>
      <c r="H18" s="18">
        <v>43757</v>
      </c>
      <c r="I18" s="18">
        <f ca="1" t="shared" si="12"/>
        <v>43757</v>
      </c>
      <c r="J18" s="18">
        <f ca="1" t="shared" si="1"/>
        <v>43757</v>
      </c>
      <c r="L18" s="1">
        <v>42</v>
      </c>
      <c r="M18" s="1" t="s">
        <v>3333</v>
      </c>
      <c r="N18" s="1">
        <v>36.3</v>
      </c>
      <c r="O18" s="1">
        <v>407.3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 t="s">
        <v>3329</v>
      </c>
      <c r="W18" s="1">
        <v>0</v>
      </c>
      <c r="X18" s="1">
        <v>1</v>
      </c>
      <c r="Y18" s="1">
        <v>0</v>
      </c>
      <c r="Z18" s="1">
        <v>0</v>
      </c>
      <c r="AA18" s="1">
        <v>1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1</v>
      </c>
      <c r="AP18" s="1">
        <v>0</v>
      </c>
      <c r="AQ18" s="1">
        <v>3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1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3</v>
      </c>
      <c r="BF18" s="1">
        <v>0</v>
      </c>
      <c r="BG18" s="1">
        <v>0</v>
      </c>
      <c r="BH18" s="1">
        <v>0</v>
      </c>
      <c r="BI18" s="1">
        <v>2</v>
      </c>
      <c r="BJ18" s="1">
        <v>0</v>
      </c>
      <c r="BK18" s="1">
        <v>3</v>
      </c>
      <c r="BL18" s="1">
        <v>5</v>
      </c>
      <c r="BM18" s="1">
        <v>0</v>
      </c>
      <c r="BN18" s="1">
        <v>0</v>
      </c>
      <c r="BO18" s="1">
        <v>0</v>
      </c>
    </row>
    <row r="19" hidden="1" spans="1:67">
      <c r="A19" s="18">
        <v>43704</v>
      </c>
      <c r="B19" s="18">
        <v>43717</v>
      </c>
      <c r="C19" s="18">
        <v>43744</v>
      </c>
      <c r="D19" s="18">
        <f ca="1" t="shared" ref="D19:I19" si="13">C19</f>
        <v>43744</v>
      </c>
      <c r="E19" s="18">
        <v>43752</v>
      </c>
      <c r="F19" s="18">
        <f ca="1" t="shared" si="13"/>
        <v>43752</v>
      </c>
      <c r="G19" s="18">
        <v>43757</v>
      </c>
      <c r="H19" s="18">
        <v>43757</v>
      </c>
      <c r="I19" s="18">
        <f ca="1" t="shared" si="13"/>
        <v>43757</v>
      </c>
      <c r="J19" s="18">
        <f ca="1" t="shared" si="1"/>
        <v>43757</v>
      </c>
      <c r="L19" s="1">
        <v>42.8</v>
      </c>
      <c r="M19" s="1">
        <v>95</v>
      </c>
      <c r="N19" s="1">
        <v>44.1</v>
      </c>
      <c r="O19" s="1">
        <v>450.1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 t="s">
        <v>3329</v>
      </c>
      <c r="V19" s="1" t="s">
        <v>3329</v>
      </c>
      <c r="W19" s="1">
        <v>1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1</v>
      </c>
      <c r="AP19" s="1">
        <v>0</v>
      </c>
      <c r="AQ19" s="1">
        <v>3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1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3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K19" s="1">
        <v>0</v>
      </c>
      <c r="BL19" s="1">
        <v>0</v>
      </c>
      <c r="BM19" s="1">
        <v>0</v>
      </c>
      <c r="BN19" s="1">
        <v>0</v>
      </c>
      <c r="BO19" s="1">
        <v>0</v>
      </c>
    </row>
    <row r="20" hidden="1" spans="1:67">
      <c r="A20" s="18">
        <v>43704</v>
      </c>
      <c r="B20" s="18">
        <v>43717</v>
      </c>
      <c r="C20" s="18">
        <v>43744</v>
      </c>
      <c r="D20" s="18">
        <f ca="1" t="shared" ref="D20:I20" si="14">C20</f>
        <v>43744</v>
      </c>
      <c r="E20" s="18">
        <v>43752</v>
      </c>
      <c r="F20" s="18">
        <f ca="1" t="shared" si="14"/>
        <v>43752</v>
      </c>
      <c r="G20" s="18">
        <v>43744</v>
      </c>
      <c r="H20" s="18">
        <v>43757</v>
      </c>
      <c r="I20" s="18">
        <f ca="1" t="shared" si="14"/>
        <v>43757</v>
      </c>
      <c r="J20" s="18">
        <f ca="1" t="shared" si="1"/>
        <v>43757</v>
      </c>
      <c r="L20" s="1">
        <v>36</v>
      </c>
      <c r="M20" s="1" t="s">
        <v>3334</v>
      </c>
      <c r="N20" s="1">
        <v>43.4</v>
      </c>
      <c r="O20" s="1">
        <v>486.1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 t="s">
        <v>3324</v>
      </c>
      <c r="W20" s="1">
        <v>0</v>
      </c>
      <c r="X20" s="1">
        <v>2</v>
      </c>
      <c r="Y20" s="1">
        <v>0</v>
      </c>
      <c r="Z20" s="1">
        <v>0</v>
      </c>
      <c r="AA20" s="1">
        <v>0</v>
      </c>
      <c r="AB20" s="1">
        <v>1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1</v>
      </c>
      <c r="AK20" s="1">
        <v>0</v>
      </c>
      <c r="AL20" s="1">
        <v>0</v>
      </c>
      <c r="AM20" s="1">
        <v>0</v>
      </c>
      <c r="AN20" s="1">
        <v>1</v>
      </c>
      <c r="AO20" s="1">
        <v>0</v>
      </c>
      <c r="AP20" s="1">
        <v>0</v>
      </c>
      <c r="AQ20" s="1">
        <v>6</v>
      </c>
      <c r="AR20" s="1">
        <v>6</v>
      </c>
      <c r="AS20" s="1">
        <v>0</v>
      </c>
      <c r="AT20" s="1">
        <v>0</v>
      </c>
      <c r="AU20" s="1">
        <v>6</v>
      </c>
      <c r="AV20" s="1">
        <v>0</v>
      </c>
      <c r="AW20" s="1">
        <v>2</v>
      </c>
      <c r="AX20" s="1">
        <v>0</v>
      </c>
      <c r="AY20" s="1">
        <v>0</v>
      </c>
      <c r="AZ20" s="1">
        <v>0</v>
      </c>
      <c r="BA20" s="1">
        <v>0</v>
      </c>
      <c r="BB20" s="1">
        <v>2</v>
      </c>
      <c r="BC20" s="1">
        <v>6</v>
      </c>
      <c r="BD20" s="1">
        <v>0</v>
      </c>
      <c r="BE20" s="1">
        <v>6</v>
      </c>
      <c r="BF20" s="1">
        <v>0</v>
      </c>
      <c r="BG20" s="1">
        <v>0</v>
      </c>
      <c r="BH20" s="1">
        <v>0</v>
      </c>
      <c r="BI20" s="1">
        <v>2</v>
      </c>
      <c r="BJ20" s="1">
        <v>0</v>
      </c>
      <c r="BK20" s="1">
        <v>1</v>
      </c>
      <c r="BL20" s="1">
        <v>0</v>
      </c>
      <c r="BM20" s="1">
        <v>1.2</v>
      </c>
      <c r="BN20" s="1">
        <v>0</v>
      </c>
      <c r="BO20" s="1">
        <v>0</v>
      </c>
    </row>
    <row r="21" hidden="1" spans="1:67">
      <c r="A21" s="18">
        <v>43704</v>
      </c>
      <c r="B21" s="18">
        <v>43717</v>
      </c>
      <c r="C21" s="18">
        <v>43744</v>
      </c>
      <c r="D21" s="18">
        <f ca="1" t="shared" ref="D21:I21" si="15">C21</f>
        <v>43744</v>
      </c>
      <c r="E21" s="18">
        <v>43752</v>
      </c>
      <c r="F21" s="18">
        <f ca="1" t="shared" si="15"/>
        <v>43752</v>
      </c>
      <c r="G21" s="18">
        <v>43757</v>
      </c>
      <c r="H21" s="18">
        <v>43757</v>
      </c>
      <c r="I21" s="18">
        <f ca="1" t="shared" si="15"/>
        <v>43757</v>
      </c>
      <c r="J21" s="18">
        <f ca="1" t="shared" si="1"/>
        <v>43757</v>
      </c>
      <c r="L21" s="1">
        <v>36.6</v>
      </c>
      <c r="M21" s="1">
        <v>96</v>
      </c>
      <c r="N21" s="1">
        <v>29.7</v>
      </c>
      <c r="O21" s="1">
        <v>522.7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 t="s">
        <v>3329</v>
      </c>
      <c r="V21" s="1" t="s">
        <v>3329</v>
      </c>
      <c r="W21" s="1">
        <v>1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1</v>
      </c>
      <c r="AP21" s="1">
        <v>0</v>
      </c>
      <c r="AQ21" s="1">
        <v>3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1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3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</row>
    <row r="22" hidden="1" spans="1:67">
      <c r="A22" s="18">
        <v>43704</v>
      </c>
      <c r="B22" s="18">
        <v>43717</v>
      </c>
      <c r="C22" s="18">
        <v>43744</v>
      </c>
      <c r="D22" s="18">
        <f ca="1" t="shared" ref="D22:I22" si="16">C22</f>
        <v>43744</v>
      </c>
      <c r="E22" s="18">
        <v>43752</v>
      </c>
      <c r="F22" s="18">
        <f ca="1" t="shared" si="16"/>
        <v>43752</v>
      </c>
      <c r="G22" s="18">
        <v>43744</v>
      </c>
      <c r="H22" s="18">
        <v>43757</v>
      </c>
      <c r="I22" s="18">
        <f ca="1" t="shared" si="16"/>
        <v>43757</v>
      </c>
      <c r="J22" s="18">
        <f ca="1" t="shared" si="1"/>
        <v>43757</v>
      </c>
      <c r="L22" s="1">
        <v>35</v>
      </c>
      <c r="M22" s="1" t="s">
        <v>3335</v>
      </c>
      <c r="N22" s="1">
        <v>32.3</v>
      </c>
      <c r="O22" s="1">
        <v>557.7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 t="s">
        <v>3329</v>
      </c>
      <c r="W22" s="1">
        <v>0</v>
      </c>
      <c r="X22" s="1">
        <v>1</v>
      </c>
      <c r="Y22" s="1">
        <v>0</v>
      </c>
      <c r="Z22" s="1">
        <v>0</v>
      </c>
      <c r="AA22" s="1">
        <v>1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1</v>
      </c>
      <c r="AP22" s="1">
        <v>0</v>
      </c>
      <c r="AQ22" s="1">
        <v>3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1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3</v>
      </c>
      <c r="BF22" s="1">
        <v>0</v>
      </c>
      <c r="BG22" s="1">
        <v>0</v>
      </c>
      <c r="BH22" s="1">
        <v>1</v>
      </c>
      <c r="BI22" s="1">
        <v>2</v>
      </c>
      <c r="BJ22" s="1">
        <v>0</v>
      </c>
      <c r="BK22" s="1">
        <v>4</v>
      </c>
      <c r="BL22" s="1">
        <v>4</v>
      </c>
      <c r="BM22" s="1">
        <v>0</v>
      </c>
      <c r="BN22" s="1">
        <v>0</v>
      </c>
      <c r="BO22" s="1">
        <v>0</v>
      </c>
    </row>
    <row r="23" hidden="1" spans="1:67">
      <c r="A23" s="18">
        <v>43704</v>
      </c>
      <c r="B23" s="18">
        <v>43717</v>
      </c>
      <c r="C23" s="18">
        <v>43744</v>
      </c>
      <c r="D23" s="18">
        <f ca="1" t="shared" ref="D23:I23" si="17">C23</f>
        <v>43744</v>
      </c>
      <c r="E23" s="18">
        <v>43752</v>
      </c>
      <c r="F23" s="18">
        <f ca="1" t="shared" si="17"/>
        <v>43752</v>
      </c>
      <c r="G23" s="18">
        <v>43757</v>
      </c>
      <c r="H23" s="18">
        <v>43757</v>
      </c>
      <c r="I23" s="18">
        <f ca="1" t="shared" si="17"/>
        <v>43757</v>
      </c>
      <c r="J23" s="18">
        <f ca="1" t="shared" si="1"/>
        <v>43757</v>
      </c>
      <c r="L23" s="1">
        <v>34.3</v>
      </c>
      <c r="M23" s="1">
        <v>97</v>
      </c>
      <c r="N23" s="1">
        <v>39</v>
      </c>
      <c r="O23" s="1">
        <v>592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 t="s">
        <v>3329</v>
      </c>
      <c r="V23" s="1" t="s">
        <v>3329</v>
      </c>
      <c r="W23" s="1">
        <v>1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1</v>
      </c>
      <c r="AL23" s="1">
        <v>0</v>
      </c>
      <c r="AM23" s="1">
        <v>0</v>
      </c>
      <c r="AN23" s="1">
        <v>0</v>
      </c>
      <c r="AO23" s="1">
        <v>1</v>
      </c>
      <c r="AP23" s="1">
        <v>0</v>
      </c>
      <c r="AQ23" s="1">
        <v>3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1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3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K23" s="1">
        <v>0</v>
      </c>
      <c r="BL23" s="1">
        <v>0</v>
      </c>
      <c r="BM23" s="1">
        <v>0</v>
      </c>
      <c r="BN23" s="1">
        <v>0</v>
      </c>
      <c r="BO23" s="1">
        <v>0</v>
      </c>
    </row>
    <row r="24" hidden="1" spans="1:67">
      <c r="A24" s="18">
        <v>43704</v>
      </c>
      <c r="B24" s="18">
        <v>43717</v>
      </c>
      <c r="C24" s="18">
        <v>43744</v>
      </c>
      <c r="D24" s="18">
        <f ca="1" t="shared" ref="D24:I24" si="18">C24</f>
        <v>43744</v>
      </c>
      <c r="E24" s="18">
        <v>43752</v>
      </c>
      <c r="F24" s="18">
        <f ca="1" t="shared" si="18"/>
        <v>43752</v>
      </c>
      <c r="G24" s="18">
        <v>43744</v>
      </c>
      <c r="H24" s="18">
        <v>43757</v>
      </c>
      <c r="I24" s="18">
        <f ca="1" t="shared" si="18"/>
        <v>43757</v>
      </c>
      <c r="J24" s="18">
        <f ca="1" t="shared" si="1"/>
        <v>43757</v>
      </c>
      <c r="L24" s="1">
        <v>37</v>
      </c>
      <c r="M24" s="1" t="s">
        <v>3336</v>
      </c>
      <c r="N24" s="1">
        <v>37.1</v>
      </c>
      <c r="O24" s="1">
        <v>629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 t="s">
        <v>3329</v>
      </c>
      <c r="W24" s="1">
        <v>0</v>
      </c>
      <c r="X24" s="1">
        <v>1</v>
      </c>
      <c r="Y24" s="1">
        <v>0</v>
      </c>
      <c r="Z24" s="1">
        <v>1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1</v>
      </c>
      <c r="AP24" s="1">
        <v>0</v>
      </c>
      <c r="AQ24" s="1">
        <v>3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1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3</v>
      </c>
      <c r="BF24" s="1">
        <v>0</v>
      </c>
      <c r="BG24" s="1">
        <v>0</v>
      </c>
      <c r="BH24" s="1">
        <v>1</v>
      </c>
      <c r="BI24" s="1">
        <v>0</v>
      </c>
      <c r="BJ24" s="1">
        <v>0</v>
      </c>
      <c r="BK24" s="1">
        <v>5</v>
      </c>
      <c r="BL24" s="1">
        <v>4</v>
      </c>
      <c r="BM24" s="1">
        <v>1.5</v>
      </c>
      <c r="BN24" s="1">
        <v>0</v>
      </c>
      <c r="BO24" s="1">
        <v>0</v>
      </c>
    </row>
    <row r="25" hidden="1" spans="1:67">
      <c r="A25" s="18">
        <v>43705</v>
      </c>
      <c r="B25" s="18">
        <v>43717</v>
      </c>
      <c r="C25" s="18">
        <v>43744</v>
      </c>
      <c r="D25" s="18">
        <f ca="1" t="shared" ref="D25:I25" si="19">C25</f>
        <v>43744</v>
      </c>
      <c r="E25" s="18">
        <v>43752</v>
      </c>
      <c r="F25" s="18">
        <f ca="1" t="shared" si="19"/>
        <v>43752</v>
      </c>
      <c r="G25" s="18">
        <v>43757</v>
      </c>
      <c r="H25" s="18">
        <v>43757</v>
      </c>
      <c r="I25" s="18">
        <f ca="1" t="shared" si="19"/>
        <v>43757</v>
      </c>
      <c r="J25" s="18">
        <f ca="1" t="shared" si="1"/>
        <v>43757</v>
      </c>
      <c r="L25" s="1">
        <v>37.1</v>
      </c>
      <c r="M25" s="1">
        <v>98</v>
      </c>
      <c r="N25" s="1">
        <v>35.1</v>
      </c>
      <c r="O25" s="1">
        <v>666.1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 t="s">
        <v>3329</v>
      </c>
      <c r="V25" s="1" t="s">
        <v>3329</v>
      </c>
      <c r="W25" s="1">
        <v>1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1</v>
      </c>
      <c r="AP25" s="1">
        <v>0</v>
      </c>
      <c r="AQ25" s="1">
        <v>3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1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3</v>
      </c>
      <c r="BF25" s="1">
        <v>0</v>
      </c>
      <c r="BG25" s="1">
        <v>0</v>
      </c>
      <c r="BH25" s="1">
        <v>0</v>
      </c>
      <c r="BI25" s="1">
        <v>0</v>
      </c>
      <c r="BJ25" s="1">
        <v>0</v>
      </c>
      <c r="BK25" s="1">
        <v>0</v>
      </c>
      <c r="BL25" s="1">
        <v>0</v>
      </c>
      <c r="BM25" s="1">
        <v>0</v>
      </c>
      <c r="BN25" s="1">
        <v>0</v>
      </c>
      <c r="BO25" s="1">
        <v>0</v>
      </c>
    </row>
    <row r="26" hidden="1" spans="1:67">
      <c r="A26" s="18">
        <v>43705</v>
      </c>
      <c r="B26" s="18">
        <v>43717</v>
      </c>
      <c r="C26" s="18">
        <v>43744</v>
      </c>
      <c r="D26" s="18">
        <f ca="1" t="shared" ref="D26:I26" si="20">C26</f>
        <v>43744</v>
      </c>
      <c r="E26" s="18">
        <v>43752</v>
      </c>
      <c r="F26" s="18">
        <f ca="1" t="shared" si="20"/>
        <v>43752</v>
      </c>
      <c r="G26" s="18">
        <v>43744</v>
      </c>
      <c r="H26" s="18">
        <v>43757</v>
      </c>
      <c r="I26" s="18">
        <f ca="1" t="shared" si="20"/>
        <v>43757</v>
      </c>
      <c r="J26" s="18">
        <f ca="1" t="shared" si="1"/>
        <v>43757</v>
      </c>
      <c r="L26" s="1">
        <v>37</v>
      </c>
      <c r="M26" s="1" t="s">
        <v>3337</v>
      </c>
      <c r="N26" s="1">
        <v>34.6</v>
      </c>
      <c r="O26" s="1">
        <v>703.1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 t="s">
        <v>3329</v>
      </c>
      <c r="W26" s="1">
        <v>0</v>
      </c>
      <c r="X26" s="1">
        <v>1</v>
      </c>
      <c r="Y26" s="1">
        <v>0</v>
      </c>
      <c r="Z26" s="1">
        <v>1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1</v>
      </c>
      <c r="AP26" s="1">
        <v>0</v>
      </c>
      <c r="AQ26" s="1">
        <v>3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1</v>
      </c>
      <c r="AX26" s="1">
        <v>0</v>
      </c>
      <c r="AY26" s="1">
        <v>0</v>
      </c>
      <c r="AZ26" s="1">
        <v>0</v>
      </c>
      <c r="BA26" s="1">
        <v>0</v>
      </c>
      <c r="BB26" s="1">
        <v>0</v>
      </c>
      <c r="BC26" s="1">
        <v>0</v>
      </c>
      <c r="BD26" s="1">
        <v>0</v>
      </c>
      <c r="BE26" s="1">
        <v>3</v>
      </c>
      <c r="BF26" s="1">
        <v>0</v>
      </c>
      <c r="BG26" s="1">
        <v>0</v>
      </c>
      <c r="BH26" s="1">
        <v>1</v>
      </c>
      <c r="BI26" s="1">
        <v>0</v>
      </c>
      <c r="BJ26" s="1">
        <v>0</v>
      </c>
      <c r="BK26" s="1">
        <v>2</v>
      </c>
      <c r="BL26" s="1">
        <v>4</v>
      </c>
      <c r="BM26" s="1">
        <v>0</v>
      </c>
      <c r="BN26" s="1">
        <v>0</v>
      </c>
      <c r="BO26" s="1">
        <v>0</v>
      </c>
    </row>
    <row r="27" hidden="1" spans="1:67">
      <c r="A27" s="18">
        <v>43705</v>
      </c>
      <c r="B27" s="18">
        <v>43717</v>
      </c>
      <c r="C27" s="18">
        <v>43744</v>
      </c>
      <c r="D27" s="18">
        <f ca="1" t="shared" ref="D27:I27" si="21">C27</f>
        <v>43744</v>
      </c>
      <c r="E27" s="18">
        <v>43752</v>
      </c>
      <c r="F27" s="18">
        <f ca="1" t="shared" si="21"/>
        <v>43752</v>
      </c>
      <c r="G27" s="18">
        <v>43757</v>
      </c>
      <c r="H27" s="18">
        <v>43757</v>
      </c>
      <c r="I27" s="18">
        <f ca="1" t="shared" si="21"/>
        <v>43757</v>
      </c>
      <c r="J27" s="18">
        <f ca="1" t="shared" si="1"/>
        <v>43757</v>
      </c>
      <c r="L27" s="1">
        <v>36.9</v>
      </c>
      <c r="M27" s="1">
        <v>99</v>
      </c>
      <c r="N27" s="1">
        <v>39.1</v>
      </c>
      <c r="O27" s="1">
        <v>740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 t="s">
        <v>3329</v>
      </c>
      <c r="V27" s="1" t="s">
        <v>3329</v>
      </c>
      <c r="W27" s="1">
        <v>1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1</v>
      </c>
      <c r="AP27" s="1">
        <v>0</v>
      </c>
      <c r="AQ27" s="1">
        <v>3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1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3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 s="1">
        <v>0</v>
      </c>
      <c r="BM27" s="1">
        <v>0</v>
      </c>
      <c r="BN27" s="1">
        <v>0</v>
      </c>
      <c r="BO27" s="1">
        <v>0</v>
      </c>
    </row>
    <row r="28" hidden="1" spans="1:67">
      <c r="A28" s="18">
        <v>43705</v>
      </c>
      <c r="B28" s="18">
        <v>43717</v>
      </c>
      <c r="C28" s="18">
        <v>43744</v>
      </c>
      <c r="D28" s="18">
        <f ca="1" t="shared" ref="D28:I28" si="22">C28</f>
        <v>43744</v>
      </c>
      <c r="E28" s="18">
        <v>43752</v>
      </c>
      <c r="F28" s="18">
        <f ca="1" t="shared" si="22"/>
        <v>43752</v>
      </c>
      <c r="G28" s="18">
        <v>43744</v>
      </c>
      <c r="H28" s="18">
        <v>43757</v>
      </c>
      <c r="I28" s="18">
        <f ca="1" t="shared" si="22"/>
        <v>43757</v>
      </c>
      <c r="J28" s="18">
        <f ca="1" t="shared" si="1"/>
        <v>43757</v>
      </c>
      <c r="L28" s="1">
        <v>37</v>
      </c>
      <c r="M28" s="1" t="s">
        <v>3338</v>
      </c>
      <c r="N28" s="1">
        <v>38.1</v>
      </c>
      <c r="O28" s="1">
        <v>777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 t="s">
        <v>3329</v>
      </c>
      <c r="W28" s="1">
        <v>0</v>
      </c>
      <c r="X28" s="1">
        <v>1</v>
      </c>
      <c r="Y28" s="1">
        <v>0</v>
      </c>
      <c r="Z28" s="1">
        <v>1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1</v>
      </c>
      <c r="AP28" s="1">
        <v>0</v>
      </c>
      <c r="AQ28" s="1">
        <v>3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1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  <c r="BE28" s="1">
        <v>3</v>
      </c>
      <c r="BF28" s="1">
        <v>0</v>
      </c>
      <c r="BG28" s="1">
        <v>0</v>
      </c>
      <c r="BH28" s="1">
        <v>1</v>
      </c>
      <c r="BI28" s="1">
        <v>0</v>
      </c>
      <c r="BJ28" s="1">
        <v>0</v>
      </c>
      <c r="BK28" s="1">
        <v>1</v>
      </c>
      <c r="BL28" s="1">
        <v>4</v>
      </c>
      <c r="BM28" s="1">
        <v>0</v>
      </c>
      <c r="BN28" s="1">
        <v>0</v>
      </c>
      <c r="BO28" s="1">
        <v>0</v>
      </c>
    </row>
    <row r="29" hidden="1" spans="1:67">
      <c r="A29" s="18">
        <v>43705</v>
      </c>
      <c r="B29" s="18">
        <v>43717</v>
      </c>
      <c r="C29" s="18">
        <v>43744</v>
      </c>
      <c r="D29" s="18">
        <f ca="1" t="shared" ref="D29:I29" si="23">C29</f>
        <v>43744</v>
      </c>
      <c r="E29" s="18">
        <v>43752</v>
      </c>
      <c r="F29" s="18">
        <f ca="1" t="shared" si="23"/>
        <v>43752</v>
      </c>
      <c r="G29" s="18">
        <v>43757</v>
      </c>
      <c r="H29" s="18">
        <v>43757</v>
      </c>
      <c r="I29" s="18">
        <f ca="1" t="shared" si="23"/>
        <v>43757</v>
      </c>
      <c r="J29" s="18">
        <f ca="1" t="shared" si="1"/>
        <v>43757</v>
      </c>
      <c r="L29" s="1">
        <v>38.2</v>
      </c>
      <c r="M29" s="1">
        <v>100</v>
      </c>
      <c r="N29" s="1">
        <v>37.2</v>
      </c>
      <c r="O29" s="1">
        <v>815.2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 t="s">
        <v>3329</v>
      </c>
      <c r="V29" s="1" t="s">
        <v>3329</v>
      </c>
      <c r="W29" s="1">
        <v>1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0</v>
      </c>
      <c r="AE29" s="1">
        <v>0</v>
      </c>
      <c r="AF29" s="1">
        <v>0</v>
      </c>
      <c r="AG29" s="1">
        <v>0</v>
      </c>
      <c r="AH29" s="1">
        <v>0</v>
      </c>
      <c r="AI29" s="1">
        <v>0</v>
      </c>
      <c r="AJ29" s="1">
        <v>0</v>
      </c>
      <c r="AK29" s="1">
        <v>1</v>
      </c>
      <c r="AL29" s="1">
        <v>0</v>
      </c>
      <c r="AM29" s="1">
        <v>0</v>
      </c>
      <c r="AN29" s="1">
        <v>0</v>
      </c>
      <c r="AO29" s="1">
        <v>1</v>
      </c>
      <c r="AP29" s="1">
        <v>0</v>
      </c>
      <c r="AQ29" s="1">
        <v>3</v>
      </c>
      <c r="AR29" s="1">
        <v>0</v>
      </c>
      <c r="AS29" s="1">
        <v>0</v>
      </c>
      <c r="AT29" s="1">
        <v>0</v>
      </c>
      <c r="AU29" s="1">
        <v>0</v>
      </c>
      <c r="AV29" s="1">
        <v>0</v>
      </c>
      <c r="AW29" s="1">
        <v>1</v>
      </c>
      <c r="AX29" s="1">
        <v>0</v>
      </c>
      <c r="AY29" s="1">
        <v>0</v>
      </c>
      <c r="AZ29" s="1">
        <v>0</v>
      </c>
      <c r="BA29" s="1">
        <v>0</v>
      </c>
      <c r="BB29" s="1">
        <v>0</v>
      </c>
      <c r="BC29" s="1">
        <v>0</v>
      </c>
      <c r="BD29" s="1">
        <v>0</v>
      </c>
      <c r="BE29" s="1">
        <v>3</v>
      </c>
      <c r="BF29" s="1">
        <v>0</v>
      </c>
      <c r="BG29" s="1">
        <v>0</v>
      </c>
      <c r="BH29" s="1">
        <v>0</v>
      </c>
      <c r="BI29" s="1">
        <v>0</v>
      </c>
      <c r="BJ29" s="1">
        <v>0</v>
      </c>
      <c r="BK29" s="1">
        <v>0</v>
      </c>
      <c r="BL29" s="1">
        <v>0</v>
      </c>
      <c r="BM29" s="1">
        <v>0</v>
      </c>
      <c r="BN29" s="1">
        <v>0</v>
      </c>
      <c r="BO29" s="1">
        <v>0</v>
      </c>
    </row>
    <row r="30" hidden="1" spans="1:67">
      <c r="A30" s="18">
        <v>43705</v>
      </c>
      <c r="B30" s="18">
        <v>43717</v>
      </c>
      <c r="C30" s="18">
        <v>43744</v>
      </c>
      <c r="D30" s="18">
        <f ca="1" t="shared" ref="D30:I30" si="24">C30</f>
        <v>43744</v>
      </c>
      <c r="E30" s="18">
        <v>43752</v>
      </c>
      <c r="F30" s="18">
        <f ca="1" t="shared" si="24"/>
        <v>43752</v>
      </c>
      <c r="G30" s="18">
        <v>43744</v>
      </c>
      <c r="H30" s="18">
        <v>43757</v>
      </c>
      <c r="I30" s="18">
        <f ca="1" t="shared" si="24"/>
        <v>43757</v>
      </c>
      <c r="J30" s="18">
        <f ca="1" t="shared" si="1"/>
        <v>43757</v>
      </c>
      <c r="L30" s="1">
        <v>38</v>
      </c>
      <c r="M30" s="1" t="s">
        <v>3339</v>
      </c>
      <c r="N30" s="1">
        <v>35.8</v>
      </c>
      <c r="O30" s="1">
        <v>853.2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 t="s">
        <v>3329</v>
      </c>
      <c r="W30" s="1">
        <v>0</v>
      </c>
      <c r="X30" s="1">
        <v>1</v>
      </c>
      <c r="Y30" s="1">
        <v>0</v>
      </c>
      <c r="Z30" s="1">
        <v>0</v>
      </c>
      <c r="AA30" s="1">
        <v>1</v>
      </c>
      <c r="AB30" s="1">
        <v>0</v>
      </c>
      <c r="AC30" s="1">
        <v>0</v>
      </c>
      <c r="AD30" s="1">
        <v>0</v>
      </c>
      <c r="AE30" s="1">
        <v>0</v>
      </c>
      <c r="AF30" s="1">
        <v>0</v>
      </c>
      <c r="AG30" s="1">
        <v>0</v>
      </c>
      <c r="AH30" s="1">
        <v>0</v>
      </c>
      <c r="AI30" s="1">
        <v>0</v>
      </c>
      <c r="AJ30" s="1">
        <v>0</v>
      </c>
      <c r="AK30" s="1">
        <v>0</v>
      </c>
      <c r="AL30" s="1">
        <v>0</v>
      </c>
      <c r="AM30" s="1">
        <v>0</v>
      </c>
      <c r="AN30" s="1">
        <v>0</v>
      </c>
      <c r="AO30" s="1">
        <v>1</v>
      </c>
      <c r="AP30" s="1">
        <v>0</v>
      </c>
      <c r="AQ30" s="1">
        <v>3</v>
      </c>
      <c r="AR30" s="1">
        <v>0</v>
      </c>
      <c r="AS30" s="1">
        <v>0</v>
      </c>
      <c r="AT30" s="1">
        <v>0</v>
      </c>
      <c r="AU30" s="1">
        <v>0</v>
      </c>
      <c r="AV30" s="1">
        <v>0</v>
      </c>
      <c r="AW30" s="1">
        <v>1</v>
      </c>
      <c r="AX30" s="1">
        <v>0</v>
      </c>
      <c r="AY30" s="1">
        <v>0</v>
      </c>
      <c r="AZ30" s="1">
        <v>0</v>
      </c>
      <c r="BA30" s="1">
        <v>0</v>
      </c>
      <c r="BB30" s="1">
        <v>0</v>
      </c>
      <c r="BC30" s="1">
        <v>0</v>
      </c>
      <c r="BD30" s="1">
        <v>0</v>
      </c>
      <c r="BE30" s="1">
        <v>3</v>
      </c>
      <c r="BF30" s="1">
        <v>0</v>
      </c>
      <c r="BG30" s="1">
        <v>0</v>
      </c>
      <c r="BH30" s="1">
        <v>1</v>
      </c>
      <c r="BI30" s="1">
        <v>0</v>
      </c>
      <c r="BJ30" s="1">
        <v>0</v>
      </c>
      <c r="BK30" s="1">
        <v>4</v>
      </c>
      <c r="BL30" s="1">
        <v>8</v>
      </c>
      <c r="BM30" s="1">
        <v>0</v>
      </c>
      <c r="BN30" s="1" t="s">
        <v>3340</v>
      </c>
      <c r="BO30" s="1">
        <v>0</v>
      </c>
    </row>
    <row r="31" hidden="1" spans="1:67">
      <c r="A31" s="18">
        <v>43705</v>
      </c>
      <c r="B31" s="18">
        <v>43717</v>
      </c>
      <c r="C31" s="18">
        <v>43744</v>
      </c>
      <c r="D31" s="18">
        <f ca="1" t="shared" ref="D31:I31" si="25">C31</f>
        <v>43744</v>
      </c>
      <c r="E31" s="18">
        <v>43752</v>
      </c>
      <c r="F31" s="18">
        <f ca="1" t="shared" si="25"/>
        <v>43752</v>
      </c>
      <c r="G31" s="18">
        <v>43744</v>
      </c>
      <c r="H31" s="18">
        <v>43757</v>
      </c>
      <c r="I31" s="18">
        <f ca="1" t="shared" si="25"/>
        <v>43757</v>
      </c>
      <c r="J31" s="18">
        <f ca="1" t="shared" si="1"/>
        <v>43757</v>
      </c>
      <c r="L31" s="1">
        <v>38.1</v>
      </c>
      <c r="M31" s="1">
        <v>101</v>
      </c>
      <c r="N31" s="1">
        <v>38.2</v>
      </c>
      <c r="O31" s="1">
        <v>891.3</v>
      </c>
      <c r="P31" s="1">
        <v>0</v>
      </c>
      <c r="Q31" s="1">
        <v>0</v>
      </c>
      <c r="R31" s="1">
        <v>0</v>
      </c>
      <c r="S31" s="1">
        <v>0</v>
      </c>
      <c r="T31" s="1">
        <v>5</v>
      </c>
      <c r="U31" s="1" t="s">
        <v>3329</v>
      </c>
      <c r="V31" s="1" t="s">
        <v>3329</v>
      </c>
      <c r="W31" s="1">
        <v>1</v>
      </c>
      <c r="X31" s="1">
        <v>0</v>
      </c>
      <c r="Y31" s="1">
        <v>1</v>
      </c>
      <c r="Z31" s="1">
        <v>0</v>
      </c>
      <c r="AA31" s="1">
        <v>0</v>
      </c>
      <c r="AB31" s="1">
        <v>0</v>
      </c>
      <c r="AC31" s="1">
        <v>1</v>
      </c>
      <c r="AD31" s="1">
        <v>0</v>
      </c>
      <c r="AE31" s="1">
        <v>0</v>
      </c>
      <c r="AF31" s="1">
        <v>0</v>
      </c>
      <c r="AG31" s="1">
        <v>0</v>
      </c>
      <c r="AH31" s="1">
        <v>0</v>
      </c>
      <c r="AI31" s="1">
        <v>0</v>
      </c>
      <c r="AJ31" s="1">
        <v>0</v>
      </c>
      <c r="AK31" s="1">
        <v>0</v>
      </c>
      <c r="AL31" s="1">
        <v>1</v>
      </c>
      <c r="AM31" s="1">
        <v>0</v>
      </c>
      <c r="AN31" s="1">
        <v>0</v>
      </c>
      <c r="AO31" s="1">
        <v>1</v>
      </c>
      <c r="AP31" s="1">
        <v>0</v>
      </c>
      <c r="AQ31" s="1">
        <v>3</v>
      </c>
      <c r="AR31" s="1">
        <v>0</v>
      </c>
      <c r="AS31" s="1">
        <v>0</v>
      </c>
      <c r="AT31" s="1">
        <v>0</v>
      </c>
      <c r="AU31" s="1">
        <v>0</v>
      </c>
      <c r="AV31" s="1">
        <v>0</v>
      </c>
      <c r="AW31" s="1">
        <v>1</v>
      </c>
      <c r="AX31" s="1">
        <v>1</v>
      </c>
      <c r="AY31" s="1">
        <v>1</v>
      </c>
      <c r="AZ31" s="1">
        <v>0</v>
      </c>
      <c r="BA31" s="1">
        <v>0</v>
      </c>
      <c r="BB31" s="1">
        <v>2</v>
      </c>
      <c r="BC31" s="1">
        <v>0</v>
      </c>
      <c r="BD31" s="1">
        <v>0</v>
      </c>
      <c r="BE31" s="1">
        <v>3</v>
      </c>
      <c r="BF31" s="1">
        <v>0</v>
      </c>
      <c r="BG31" s="1">
        <v>0</v>
      </c>
      <c r="BH31" s="1">
        <v>0</v>
      </c>
      <c r="BI31" s="1">
        <v>0</v>
      </c>
      <c r="BJ31" s="1">
        <v>0</v>
      </c>
      <c r="BK31" s="1">
        <v>0</v>
      </c>
      <c r="BL31" s="1">
        <v>0</v>
      </c>
      <c r="BM31" s="1">
        <v>0</v>
      </c>
      <c r="BN31" s="1" t="s">
        <v>3341</v>
      </c>
      <c r="BO31" s="1">
        <v>0</v>
      </c>
    </row>
    <row r="32" hidden="1" spans="1:67">
      <c r="A32" s="18">
        <v>43705</v>
      </c>
      <c r="B32" s="18">
        <v>43717</v>
      </c>
      <c r="C32" s="18">
        <v>43744</v>
      </c>
      <c r="D32" s="18">
        <f ca="1" t="shared" ref="D32:I32" si="26">C32</f>
        <v>43744</v>
      </c>
      <c r="E32" s="18">
        <v>43752</v>
      </c>
      <c r="F32" s="18">
        <f ca="1" t="shared" si="26"/>
        <v>43752</v>
      </c>
      <c r="G32" s="18">
        <v>43744</v>
      </c>
      <c r="H32" s="18">
        <v>43757</v>
      </c>
      <c r="I32" s="18">
        <f ca="1" t="shared" si="26"/>
        <v>43757</v>
      </c>
      <c r="J32" s="18">
        <f ca="1" t="shared" si="1"/>
        <v>43757</v>
      </c>
      <c r="L32" s="1">
        <v>48</v>
      </c>
      <c r="M32" s="1" t="s">
        <v>3342</v>
      </c>
      <c r="N32" s="1">
        <v>43.5</v>
      </c>
      <c r="O32" s="1">
        <v>939.3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 t="s">
        <v>3324</v>
      </c>
      <c r="W32" s="1">
        <v>0</v>
      </c>
      <c r="X32" s="1">
        <v>2</v>
      </c>
      <c r="Y32" s="1">
        <v>0</v>
      </c>
      <c r="Z32" s="1">
        <v>0</v>
      </c>
      <c r="AA32" s="1">
        <v>0</v>
      </c>
      <c r="AB32" s="1">
        <v>1</v>
      </c>
      <c r="AC32" s="1">
        <v>0</v>
      </c>
      <c r="AD32" s="1">
        <v>0</v>
      </c>
      <c r="AE32" s="1">
        <v>0</v>
      </c>
      <c r="AF32" s="1">
        <v>0</v>
      </c>
      <c r="AG32" s="1">
        <v>0</v>
      </c>
      <c r="AH32" s="1">
        <v>0</v>
      </c>
      <c r="AI32" s="1">
        <v>0</v>
      </c>
      <c r="AJ32" s="1">
        <v>0</v>
      </c>
      <c r="AK32" s="1">
        <v>0</v>
      </c>
      <c r="AL32" s="1">
        <v>0</v>
      </c>
      <c r="AM32" s="1">
        <v>0</v>
      </c>
      <c r="AN32" s="1">
        <v>1</v>
      </c>
      <c r="AO32" s="1">
        <v>0</v>
      </c>
      <c r="AP32" s="1">
        <v>0</v>
      </c>
      <c r="AQ32" s="1">
        <v>6</v>
      </c>
      <c r="AR32" s="1">
        <v>6</v>
      </c>
      <c r="AS32" s="1">
        <v>0</v>
      </c>
      <c r="AT32" s="1">
        <v>0</v>
      </c>
      <c r="AU32" s="1">
        <v>6</v>
      </c>
      <c r="AV32" s="1">
        <v>2</v>
      </c>
      <c r="AW32" s="1">
        <v>0</v>
      </c>
      <c r="AX32" s="1">
        <v>0</v>
      </c>
      <c r="AY32" s="1">
        <v>0</v>
      </c>
      <c r="AZ32" s="1">
        <v>0</v>
      </c>
      <c r="BA32" s="1">
        <v>0</v>
      </c>
      <c r="BB32" s="1">
        <v>0</v>
      </c>
      <c r="BC32" s="1">
        <v>0</v>
      </c>
      <c r="BD32" s="1">
        <v>0</v>
      </c>
      <c r="BE32" s="1">
        <v>6</v>
      </c>
      <c r="BF32" s="1">
        <v>0</v>
      </c>
      <c r="BG32" s="1">
        <v>0</v>
      </c>
      <c r="BH32" s="1">
        <v>1</v>
      </c>
      <c r="BI32" s="1">
        <v>0</v>
      </c>
      <c r="BJ32" s="1">
        <v>0</v>
      </c>
      <c r="BK32" s="1">
        <v>4</v>
      </c>
      <c r="BL32" s="1">
        <v>4</v>
      </c>
      <c r="BM32" s="1">
        <v>0</v>
      </c>
      <c r="BN32" s="1">
        <v>0</v>
      </c>
      <c r="BO32" s="1">
        <v>0</v>
      </c>
    </row>
    <row r="33" hidden="1" spans="1:67">
      <c r="A33" s="18">
        <v>43705</v>
      </c>
      <c r="B33" s="18">
        <v>43717</v>
      </c>
      <c r="C33" s="18">
        <v>43744</v>
      </c>
      <c r="D33" s="18">
        <f ca="1" t="shared" ref="D33:I33" si="27">C33</f>
        <v>43744</v>
      </c>
      <c r="E33" s="18">
        <v>43752</v>
      </c>
      <c r="F33" s="18">
        <f ca="1" t="shared" si="27"/>
        <v>43752</v>
      </c>
      <c r="G33" s="18">
        <v>43744</v>
      </c>
      <c r="H33" s="18">
        <v>43757</v>
      </c>
      <c r="I33" s="18">
        <f ca="1" t="shared" si="27"/>
        <v>43757</v>
      </c>
      <c r="J33" s="18">
        <f ca="1" t="shared" si="1"/>
        <v>43757</v>
      </c>
      <c r="L33" s="1">
        <v>49.8</v>
      </c>
      <c r="M33" s="1">
        <v>102</v>
      </c>
      <c r="N33" s="1">
        <v>43.3</v>
      </c>
      <c r="O33" s="1">
        <v>989.1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 t="s">
        <v>3327</v>
      </c>
      <c r="V33" s="1" t="s">
        <v>3327</v>
      </c>
      <c r="W33" s="1">
        <v>1</v>
      </c>
      <c r="X33" s="1">
        <v>1</v>
      </c>
      <c r="Y33" s="1">
        <v>0</v>
      </c>
      <c r="Z33" s="1">
        <v>0</v>
      </c>
      <c r="AA33" s="1">
        <v>1</v>
      </c>
      <c r="AB33" s="1">
        <v>0</v>
      </c>
      <c r="AC33" s="1">
        <v>0</v>
      </c>
      <c r="AD33" s="1">
        <v>0</v>
      </c>
      <c r="AE33" s="1">
        <v>0</v>
      </c>
      <c r="AF33" s="1">
        <v>0</v>
      </c>
      <c r="AG33" s="1">
        <v>0</v>
      </c>
      <c r="AH33" s="1">
        <v>1</v>
      </c>
      <c r="AI33" s="1">
        <v>0</v>
      </c>
      <c r="AJ33" s="1">
        <v>0</v>
      </c>
      <c r="AK33" s="1">
        <v>0</v>
      </c>
      <c r="AL33" s="1">
        <v>0</v>
      </c>
      <c r="AM33" s="1">
        <v>0</v>
      </c>
      <c r="AN33" s="1">
        <v>0</v>
      </c>
      <c r="AO33" s="1">
        <v>0</v>
      </c>
      <c r="AP33" s="1">
        <v>1</v>
      </c>
      <c r="AQ33" s="1">
        <v>6</v>
      </c>
      <c r="AR33" s="1">
        <v>0</v>
      </c>
      <c r="AS33" s="1">
        <v>0</v>
      </c>
      <c r="AT33" s="1">
        <v>0</v>
      </c>
      <c r="AU33" s="1">
        <v>0</v>
      </c>
      <c r="AV33" s="1">
        <v>0</v>
      </c>
      <c r="AW33" s="1">
        <v>1</v>
      </c>
      <c r="AX33" s="1">
        <v>0</v>
      </c>
      <c r="AY33" s="1">
        <v>0</v>
      </c>
      <c r="AZ33" s="1">
        <v>0</v>
      </c>
      <c r="BA33" s="1">
        <v>0</v>
      </c>
      <c r="BB33" s="1">
        <v>0</v>
      </c>
      <c r="BC33" s="1">
        <v>0</v>
      </c>
      <c r="BD33" s="1">
        <v>6</v>
      </c>
      <c r="BE33" s="1">
        <v>0</v>
      </c>
      <c r="BF33" s="1">
        <v>0</v>
      </c>
      <c r="BG33" s="1">
        <v>0</v>
      </c>
      <c r="BH33" s="1">
        <v>0</v>
      </c>
      <c r="BI33" s="1">
        <v>0</v>
      </c>
      <c r="BJ33" s="1">
        <v>0</v>
      </c>
      <c r="BK33" s="1">
        <v>0</v>
      </c>
      <c r="BL33" s="1">
        <v>4</v>
      </c>
      <c r="BM33" s="1">
        <v>0</v>
      </c>
      <c r="BN33" s="1" t="s">
        <v>3343</v>
      </c>
      <c r="BO33" s="1">
        <v>0</v>
      </c>
    </row>
    <row r="34" hidden="1" spans="1:67">
      <c r="A34" s="18">
        <v>43705</v>
      </c>
      <c r="B34" s="18">
        <v>43717</v>
      </c>
      <c r="C34" s="18">
        <v>43744</v>
      </c>
      <c r="D34" s="18">
        <f ca="1" t="shared" ref="D34:I34" si="28">C34</f>
        <v>43744</v>
      </c>
      <c r="E34" s="18">
        <v>43752</v>
      </c>
      <c r="F34" s="18">
        <f ca="1" t="shared" si="28"/>
        <v>43752</v>
      </c>
      <c r="G34" s="18">
        <v>43744</v>
      </c>
      <c r="H34" s="18">
        <v>43757</v>
      </c>
      <c r="I34" s="18">
        <f ca="1" t="shared" si="28"/>
        <v>43757</v>
      </c>
      <c r="J34" s="18">
        <f ca="1" t="shared" si="1"/>
        <v>43757</v>
      </c>
      <c r="L34" s="1">
        <v>38</v>
      </c>
      <c r="M34" s="1" t="s">
        <v>3344</v>
      </c>
      <c r="N34" s="1">
        <v>35.1</v>
      </c>
      <c r="O34" s="1">
        <v>1027.1</v>
      </c>
      <c r="P34" s="1">
        <v>0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 t="s">
        <v>3329</v>
      </c>
      <c r="W34" s="1">
        <v>0</v>
      </c>
      <c r="X34" s="1">
        <v>1</v>
      </c>
      <c r="Y34" s="1">
        <v>0</v>
      </c>
      <c r="Z34" s="1">
        <v>1</v>
      </c>
      <c r="AA34" s="1">
        <v>0</v>
      </c>
      <c r="AB34" s="1">
        <v>0</v>
      </c>
      <c r="AC34" s="1">
        <v>0</v>
      </c>
      <c r="AD34" s="1">
        <v>0</v>
      </c>
      <c r="AE34" s="1">
        <v>0</v>
      </c>
      <c r="AF34" s="1">
        <v>0</v>
      </c>
      <c r="AG34" s="1">
        <v>0</v>
      </c>
      <c r="AH34" s="1">
        <v>0</v>
      </c>
      <c r="AI34" s="1">
        <v>0</v>
      </c>
      <c r="AJ34" s="1">
        <v>0</v>
      </c>
      <c r="AK34" s="1">
        <v>0</v>
      </c>
      <c r="AL34" s="1">
        <v>0</v>
      </c>
      <c r="AM34" s="1">
        <v>0</v>
      </c>
      <c r="AN34" s="1">
        <v>0</v>
      </c>
      <c r="AO34" s="1">
        <v>1</v>
      </c>
      <c r="AP34" s="1">
        <v>0</v>
      </c>
      <c r="AQ34" s="1">
        <v>3</v>
      </c>
      <c r="AR34" s="1">
        <v>0</v>
      </c>
      <c r="AS34" s="1">
        <v>0</v>
      </c>
      <c r="AT34" s="1">
        <v>0</v>
      </c>
      <c r="AU34" s="1">
        <v>0</v>
      </c>
      <c r="AV34" s="1">
        <v>0</v>
      </c>
      <c r="AW34" s="1">
        <v>1</v>
      </c>
      <c r="AX34" s="1">
        <v>0</v>
      </c>
      <c r="AY34" s="1">
        <v>0</v>
      </c>
      <c r="AZ34" s="1">
        <v>0</v>
      </c>
      <c r="BA34" s="1">
        <v>0</v>
      </c>
      <c r="BB34" s="1">
        <v>0</v>
      </c>
      <c r="BC34" s="1">
        <v>0</v>
      </c>
      <c r="BD34" s="1">
        <v>0</v>
      </c>
      <c r="BE34" s="1">
        <v>3</v>
      </c>
      <c r="BF34" s="1">
        <v>0</v>
      </c>
      <c r="BG34" s="1">
        <v>0</v>
      </c>
      <c r="BH34" s="1">
        <v>1</v>
      </c>
      <c r="BI34" s="1">
        <v>0</v>
      </c>
      <c r="BJ34" s="1">
        <v>0</v>
      </c>
      <c r="BK34" s="1">
        <v>1</v>
      </c>
      <c r="BL34" s="1">
        <v>4</v>
      </c>
      <c r="BM34" s="1">
        <v>0</v>
      </c>
      <c r="BN34" s="1">
        <v>0</v>
      </c>
      <c r="BO34" s="1">
        <v>0</v>
      </c>
    </row>
    <row r="35" hidden="1" spans="1:67">
      <c r="A35" s="18">
        <v>43706</v>
      </c>
      <c r="B35" s="18">
        <v>43717</v>
      </c>
      <c r="C35" s="18">
        <v>43744</v>
      </c>
      <c r="D35" s="18">
        <f ca="1" t="shared" ref="D35:I35" si="29">C35</f>
        <v>43744</v>
      </c>
      <c r="E35" s="18">
        <v>43752</v>
      </c>
      <c r="F35" s="18">
        <f ca="1" t="shared" si="29"/>
        <v>43752</v>
      </c>
      <c r="G35" s="18">
        <v>43757</v>
      </c>
      <c r="H35" s="18">
        <v>43757</v>
      </c>
      <c r="I35" s="18">
        <f ca="1" t="shared" si="29"/>
        <v>43757</v>
      </c>
      <c r="J35" s="18">
        <f ca="1" t="shared" si="1"/>
        <v>43757</v>
      </c>
      <c r="L35" s="1">
        <v>38.8</v>
      </c>
      <c r="M35" s="1">
        <v>103</v>
      </c>
      <c r="N35" s="1">
        <v>38.2</v>
      </c>
      <c r="O35" s="1">
        <v>1065.9</v>
      </c>
      <c r="P35" s="1">
        <v>0</v>
      </c>
      <c r="Q35" s="1">
        <v>0</v>
      </c>
      <c r="R35" s="1">
        <v>0</v>
      </c>
      <c r="S35" s="1">
        <v>0</v>
      </c>
      <c r="T35" s="1">
        <v>0</v>
      </c>
      <c r="U35" s="1" t="s">
        <v>3329</v>
      </c>
      <c r="V35" s="1" t="s">
        <v>3329</v>
      </c>
      <c r="W35" s="1">
        <v>1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0</v>
      </c>
      <c r="AD35" s="1">
        <v>0</v>
      </c>
      <c r="AE35" s="1">
        <v>0</v>
      </c>
      <c r="AF35" s="1">
        <v>0</v>
      </c>
      <c r="AG35" s="1">
        <v>0</v>
      </c>
      <c r="AH35" s="1">
        <v>0</v>
      </c>
      <c r="AI35" s="1">
        <v>0</v>
      </c>
      <c r="AJ35" s="1">
        <v>0</v>
      </c>
      <c r="AK35" s="1">
        <v>0</v>
      </c>
      <c r="AL35" s="1">
        <v>0</v>
      </c>
      <c r="AM35" s="1">
        <v>0</v>
      </c>
      <c r="AN35" s="1">
        <v>0</v>
      </c>
      <c r="AO35" s="1">
        <v>1</v>
      </c>
      <c r="AP35" s="1">
        <v>0</v>
      </c>
      <c r="AQ35" s="1">
        <v>3</v>
      </c>
      <c r="AR35" s="1">
        <v>0</v>
      </c>
      <c r="AS35" s="1">
        <v>0</v>
      </c>
      <c r="AT35" s="1">
        <v>0</v>
      </c>
      <c r="AU35" s="1">
        <v>0</v>
      </c>
      <c r="AV35" s="1">
        <v>0</v>
      </c>
      <c r="AW35" s="1">
        <v>1</v>
      </c>
      <c r="AX35" s="1">
        <v>0</v>
      </c>
      <c r="AY35" s="1">
        <v>0</v>
      </c>
      <c r="AZ35" s="1">
        <v>0</v>
      </c>
      <c r="BA35" s="1">
        <v>0</v>
      </c>
      <c r="BB35" s="1">
        <v>0</v>
      </c>
      <c r="BC35" s="1">
        <v>0</v>
      </c>
      <c r="BD35" s="1">
        <v>0</v>
      </c>
      <c r="BE35" s="1">
        <v>3</v>
      </c>
      <c r="BF35" s="1">
        <v>0</v>
      </c>
      <c r="BG35" s="1">
        <v>0</v>
      </c>
      <c r="BH35" s="1">
        <v>0</v>
      </c>
      <c r="BI35" s="1">
        <v>0</v>
      </c>
      <c r="BJ35" s="1">
        <v>0</v>
      </c>
      <c r="BK35" s="1">
        <v>0</v>
      </c>
      <c r="BL35" s="1">
        <v>0</v>
      </c>
      <c r="BM35" s="1">
        <v>0</v>
      </c>
      <c r="BN35" s="1">
        <v>0</v>
      </c>
      <c r="BO35" s="1">
        <v>0</v>
      </c>
    </row>
    <row r="36" hidden="1" spans="1:67">
      <c r="A36" s="18">
        <v>43706</v>
      </c>
      <c r="B36" s="18">
        <v>43717</v>
      </c>
      <c r="C36" s="18">
        <v>43744</v>
      </c>
      <c r="D36" s="18">
        <f ca="1" t="shared" ref="D36:I36" si="30">C36</f>
        <v>43744</v>
      </c>
      <c r="E36" s="18">
        <v>43752</v>
      </c>
      <c r="F36" s="18">
        <f ca="1" t="shared" si="30"/>
        <v>43752</v>
      </c>
      <c r="G36" s="18">
        <v>43744</v>
      </c>
      <c r="H36" s="18">
        <v>43757</v>
      </c>
      <c r="I36" s="18">
        <f ca="1" t="shared" si="30"/>
        <v>43757</v>
      </c>
      <c r="J36" s="18">
        <f ca="1" t="shared" si="1"/>
        <v>43757</v>
      </c>
      <c r="L36" s="1">
        <v>36</v>
      </c>
      <c r="M36" s="1" t="s">
        <v>3345</v>
      </c>
      <c r="N36" s="1">
        <v>39.1</v>
      </c>
      <c r="O36" s="1">
        <v>1101.9</v>
      </c>
      <c r="P36" s="1">
        <v>0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 t="s">
        <v>3329</v>
      </c>
      <c r="W36" s="1">
        <v>0</v>
      </c>
      <c r="X36" s="1">
        <v>1</v>
      </c>
      <c r="Y36" s="1">
        <v>0</v>
      </c>
      <c r="Z36" s="1">
        <v>0</v>
      </c>
      <c r="AA36" s="1">
        <v>1</v>
      </c>
      <c r="AB36" s="1">
        <v>0</v>
      </c>
      <c r="AC36" s="1">
        <v>0</v>
      </c>
      <c r="AD36" s="1">
        <v>0</v>
      </c>
      <c r="AE36" s="1">
        <v>0</v>
      </c>
      <c r="AF36" s="1">
        <v>0</v>
      </c>
      <c r="AG36" s="1">
        <v>0</v>
      </c>
      <c r="AH36" s="1">
        <v>0</v>
      </c>
      <c r="AI36" s="1">
        <v>0</v>
      </c>
      <c r="AJ36" s="1">
        <v>1</v>
      </c>
      <c r="AK36" s="1">
        <v>0</v>
      </c>
      <c r="AL36" s="1">
        <v>0</v>
      </c>
      <c r="AM36" s="1">
        <v>0</v>
      </c>
      <c r="AN36" s="1">
        <v>0</v>
      </c>
      <c r="AO36" s="1">
        <v>1</v>
      </c>
      <c r="AP36" s="1">
        <v>0</v>
      </c>
      <c r="AQ36" s="1">
        <v>3</v>
      </c>
      <c r="AR36" s="1">
        <v>0</v>
      </c>
      <c r="AS36" s="1">
        <v>0</v>
      </c>
      <c r="AT36" s="1">
        <v>0</v>
      </c>
      <c r="AU36" s="1">
        <v>0</v>
      </c>
      <c r="AV36" s="1">
        <v>0</v>
      </c>
      <c r="AW36" s="1">
        <v>1</v>
      </c>
      <c r="AX36" s="1">
        <v>0</v>
      </c>
      <c r="AY36" s="1">
        <v>0</v>
      </c>
      <c r="AZ36" s="1">
        <v>0</v>
      </c>
      <c r="BA36" s="1">
        <v>0</v>
      </c>
      <c r="BB36" s="1">
        <v>0</v>
      </c>
      <c r="BC36" s="1">
        <v>0</v>
      </c>
      <c r="BD36" s="1">
        <v>0</v>
      </c>
      <c r="BE36" s="1">
        <v>3</v>
      </c>
      <c r="BF36" s="1">
        <v>0</v>
      </c>
      <c r="BG36" s="1">
        <v>0</v>
      </c>
      <c r="BH36" s="1">
        <v>2</v>
      </c>
      <c r="BI36" s="1">
        <v>0</v>
      </c>
      <c r="BJ36" s="1">
        <v>0</v>
      </c>
      <c r="BK36" s="1">
        <v>1</v>
      </c>
      <c r="BL36" s="1">
        <v>4</v>
      </c>
      <c r="BM36" s="1">
        <v>0</v>
      </c>
      <c r="BN36" s="1">
        <v>0</v>
      </c>
      <c r="BO36" s="1">
        <v>0</v>
      </c>
    </row>
    <row r="37" hidden="1" spans="1:67">
      <c r="A37" s="18">
        <v>43706</v>
      </c>
      <c r="B37" s="18">
        <v>43717</v>
      </c>
      <c r="C37" s="18">
        <v>43744</v>
      </c>
      <c r="D37" s="18">
        <f ca="1" t="shared" ref="D37:I37" si="31">C37</f>
        <v>43744</v>
      </c>
      <c r="E37" s="18">
        <v>43752</v>
      </c>
      <c r="F37" s="18">
        <f ca="1" t="shared" si="31"/>
        <v>43752</v>
      </c>
      <c r="G37" s="18">
        <v>43757</v>
      </c>
      <c r="H37" s="18">
        <v>43757</v>
      </c>
      <c r="I37" s="18">
        <f ca="1" t="shared" si="31"/>
        <v>43757</v>
      </c>
      <c r="J37" s="18">
        <f ca="1" t="shared" si="1"/>
        <v>43757</v>
      </c>
      <c r="L37" s="1">
        <v>35.3</v>
      </c>
      <c r="M37" s="1">
        <v>104</v>
      </c>
      <c r="N37" s="1">
        <v>35.6</v>
      </c>
      <c r="O37" s="1">
        <v>1137.2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U37" s="1" t="s">
        <v>3329</v>
      </c>
      <c r="V37" s="1" t="s">
        <v>3329</v>
      </c>
      <c r="W37" s="1">
        <v>1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0</v>
      </c>
      <c r="AD37" s="1">
        <v>0</v>
      </c>
      <c r="AE37" s="1">
        <v>0</v>
      </c>
      <c r="AF37" s="1">
        <v>0</v>
      </c>
      <c r="AG37" s="1">
        <v>0</v>
      </c>
      <c r="AH37" s="1">
        <v>0</v>
      </c>
      <c r="AI37" s="1">
        <v>0</v>
      </c>
      <c r="AJ37" s="1">
        <v>0</v>
      </c>
      <c r="AK37" s="1">
        <v>0</v>
      </c>
      <c r="AL37" s="1">
        <v>0</v>
      </c>
      <c r="AM37" s="1">
        <v>0</v>
      </c>
      <c r="AN37" s="1">
        <v>0</v>
      </c>
      <c r="AO37" s="1">
        <v>1</v>
      </c>
      <c r="AP37" s="1">
        <v>0</v>
      </c>
      <c r="AQ37" s="1">
        <v>3</v>
      </c>
      <c r="AR37" s="1">
        <v>0</v>
      </c>
      <c r="AS37" s="1">
        <v>0</v>
      </c>
      <c r="AT37" s="1">
        <v>0</v>
      </c>
      <c r="AU37" s="1">
        <v>0</v>
      </c>
      <c r="AV37" s="1">
        <v>0</v>
      </c>
      <c r="AW37" s="1">
        <v>1</v>
      </c>
      <c r="AX37" s="1">
        <v>0</v>
      </c>
      <c r="AY37" s="1">
        <v>0</v>
      </c>
      <c r="AZ37" s="1">
        <v>0</v>
      </c>
      <c r="BA37" s="1">
        <v>0</v>
      </c>
      <c r="BB37" s="1">
        <v>0</v>
      </c>
      <c r="BC37" s="1">
        <v>0</v>
      </c>
      <c r="BD37" s="1">
        <v>0</v>
      </c>
      <c r="BE37" s="1">
        <v>3</v>
      </c>
      <c r="BF37" s="1">
        <v>0</v>
      </c>
      <c r="BG37" s="1">
        <v>0</v>
      </c>
      <c r="BH37" s="1">
        <v>0</v>
      </c>
      <c r="BI37" s="1">
        <v>0</v>
      </c>
      <c r="BJ37" s="1">
        <v>0</v>
      </c>
      <c r="BK37" s="1">
        <v>0</v>
      </c>
      <c r="BL37" s="1">
        <v>0</v>
      </c>
      <c r="BM37" s="1">
        <v>0</v>
      </c>
      <c r="BN37" s="1">
        <v>0</v>
      </c>
      <c r="BO37" s="1">
        <v>0</v>
      </c>
    </row>
    <row r="38" hidden="1" spans="1:67">
      <c r="A38" s="18">
        <v>43706</v>
      </c>
      <c r="B38" s="18">
        <v>43717</v>
      </c>
      <c r="C38" s="18">
        <v>43744</v>
      </c>
      <c r="D38" s="18">
        <f ca="1" t="shared" ref="D38:I38" si="32">C38</f>
        <v>43744</v>
      </c>
      <c r="E38" s="18">
        <v>43752</v>
      </c>
      <c r="F38" s="18">
        <f ca="1" t="shared" si="32"/>
        <v>43752</v>
      </c>
      <c r="G38" s="18">
        <v>43744</v>
      </c>
      <c r="H38" s="18">
        <v>43757</v>
      </c>
      <c r="I38" s="18">
        <f ca="1" t="shared" si="32"/>
        <v>43757</v>
      </c>
      <c r="J38" s="18">
        <f ca="1" t="shared" si="1"/>
        <v>43757</v>
      </c>
      <c r="L38" s="1">
        <v>37</v>
      </c>
      <c r="M38" s="1" t="s">
        <v>3346</v>
      </c>
      <c r="N38" s="1">
        <v>37</v>
      </c>
      <c r="O38" s="1">
        <v>1174.2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 t="s">
        <v>3329</v>
      </c>
      <c r="W38" s="1">
        <v>0</v>
      </c>
      <c r="X38" s="1">
        <v>1</v>
      </c>
      <c r="Y38" s="1">
        <v>0</v>
      </c>
      <c r="Z38" s="1">
        <v>0</v>
      </c>
      <c r="AA38" s="1">
        <v>1</v>
      </c>
      <c r="AB38" s="1">
        <v>0</v>
      </c>
      <c r="AC38" s="1">
        <v>0</v>
      </c>
      <c r="AD38" s="1">
        <v>0</v>
      </c>
      <c r="AE38" s="1">
        <v>0</v>
      </c>
      <c r="AF38" s="1">
        <v>0</v>
      </c>
      <c r="AG38" s="1">
        <v>0</v>
      </c>
      <c r="AH38" s="1">
        <v>0</v>
      </c>
      <c r="AI38" s="1">
        <v>0</v>
      </c>
      <c r="AJ38" s="1">
        <v>0</v>
      </c>
      <c r="AK38" s="1">
        <v>0</v>
      </c>
      <c r="AL38" s="1">
        <v>0</v>
      </c>
      <c r="AM38" s="1">
        <v>0</v>
      </c>
      <c r="AN38" s="1">
        <v>0</v>
      </c>
      <c r="AO38" s="1">
        <v>1</v>
      </c>
      <c r="AP38" s="1">
        <v>0</v>
      </c>
      <c r="AQ38" s="1">
        <v>3</v>
      </c>
      <c r="AR38" s="1">
        <v>0</v>
      </c>
      <c r="AS38" s="1">
        <v>0</v>
      </c>
      <c r="AT38" s="1">
        <v>0</v>
      </c>
      <c r="AU38" s="1">
        <v>0</v>
      </c>
      <c r="AV38" s="1">
        <v>0</v>
      </c>
      <c r="AW38" s="1">
        <v>1</v>
      </c>
      <c r="AX38" s="1">
        <v>0</v>
      </c>
      <c r="AY38" s="1">
        <v>0</v>
      </c>
      <c r="AZ38" s="1">
        <v>0</v>
      </c>
      <c r="BA38" s="1">
        <v>0</v>
      </c>
      <c r="BB38" s="1">
        <v>0</v>
      </c>
      <c r="BC38" s="1">
        <v>0</v>
      </c>
      <c r="BD38" s="1">
        <v>0</v>
      </c>
      <c r="BE38" s="1">
        <v>3</v>
      </c>
      <c r="BF38" s="1">
        <v>0</v>
      </c>
      <c r="BG38" s="1">
        <v>0</v>
      </c>
      <c r="BH38" s="1">
        <v>1</v>
      </c>
      <c r="BI38" s="1">
        <v>0</v>
      </c>
      <c r="BJ38" s="1">
        <v>0</v>
      </c>
      <c r="BK38" s="1">
        <v>3</v>
      </c>
      <c r="BL38" s="1">
        <v>4</v>
      </c>
      <c r="BM38" s="1">
        <v>0</v>
      </c>
      <c r="BN38" s="1">
        <v>0</v>
      </c>
      <c r="BO38" s="1">
        <v>0</v>
      </c>
    </row>
    <row r="39" hidden="1" spans="1:67">
      <c r="A39" s="18">
        <v>43706</v>
      </c>
      <c r="B39" s="18">
        <v>43717</v>
      </c>
      <c r="C39" s="18">
        <v>43744</v>
      </c>
      <c r="D39" s="18">
        <f ca="1" t="shared" ref="D39:I39" si="33">C39</f>
        <v>43744</v>
      </c>
      <c r="E39" s="18">
        <v>43752</v>
      </c>
      <c r="F39" s="18">
        <f ca="1" t="shared" si="33"/>
        <v>43752</v>
      </c>
      <c r="G39" s="18">
        <v>43757</v>
      </c>
      <c r="H39" s="18">
        <v>43757</v>
      </c>
      <c r="I39" s="18">
        <f ca="1" t="shared" si="33"/>
        <v>43757</v>
      </c>
      <c r="J39" s="18">
        <f ca="1" t="shared" si="1"/>
        <v>43757</v>
      </c>
      <c r="L39" s="1">
        <v>36.7</v>
      </c>
      <c r="M39" s="1">
        <v>105</v>
      </c>
      <c r="N39" s="1">
        <v>35.5</v>
      </c>
      <c r="O39" s="1">
        <v>1210.9</v>
      </c>
      <c r="P39" s="1">
        <v>28</v>
      </c>
      <c r="Q39" s="1">
        <v>0</v>
      </c>
      <c r="R39" s="1">
        <v>0</v>
      </c>
      <c r="S39" s="1">
        <v>0</v>
      </c>
      <c r="T39" s="1">
        <v>1</v>
      </c>
      <c r="U39" s="1" t="s">
        <v>3347</v>
      </c>
      <c r="V39" s="1" t="s">
        <v>3347</v>
      </c>
      <c r="W39" s="1">
        <v>1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0</v>
      </c>
      <c r="AD39" s="1">
        <v>0</v>
      </c>
      <c r="AE39" s="1">
        <v>0</v>
      </c>
      <c r="AF39" s="1">
        <v>0</v>
      </c>
      <c r="AG39" s="1">
        <v>0</v>
      </c>
      <c r="AH39" s="1">
        <v>0</v>
      </c>
      <c r="AI39" s="1">
        <v>0</v>
      </c>
      <c r="AJ39" s="1">
        <v>0</v>
      </c>
      <c r="AK39" s="1">
        <v>0</v>
      </c>
      <c r="AL39" s="1">
        <v>0</v>
      </c>
      <c r="AM39" s="1">
        <v>0</v>
      </c>
      <c r="AN39" s="1">
        <v>0</v>
      </c>
      <c r="AO39" s="1">
        <v>1</v>
      </c>
      <c r="AP39" s="1">
        <v>0</v>
      </c>
      <c r="AQ39" s="1">
        <v>3</v>
      </c>
      <c r="AR39" s="1">
        <v>0</v>
      </c>
      <c r="AS39" s="1">
        <v>0</v>
      </c>
      <c r="AT39" s="1">
        <v>2</v>
      </c>
      <c r="AU39" s="1">
        <v>0</v>
      </c>
      <c r="AV39" s="1">
        <v>0</v>
      </c>
      <c r="AW39" s="1">
        <v>1</v>
      </c>
      <c r="AX39" s="1">
        <v>1</v>
      </c>
      <c r="AY39" s="1">
        <v>1</v>
      </c>
      <c r="AZ39" s="1">
        <v>0</v>
      </c>
      <c r="BA39" s="1">
        <v>0</v>
      </c>
      <c r="BB39" s="1">
        <v>2</v>
      </c>
      <c r="BC39" s="1">
        <v>0</v>
      </c>
      <c r="BD39" s="1">
        <v>0</v>
      </c>
      <c r="BE39" s="1">
        <v>3</v>
      </c>
      <c r="BF39" s="1">
        <v>0</v>
      </c>
      <c r="BG39" s="1">
        <v>0</v>
      </c>
      <c r="BH39" s="1">
        <v>0</v>
      </c>
      <c r="BI39" s="1">
        <v>0</v>
      </c>
      <c r="BJ39" s="1">
        <v>0</v>
      </c>
      <c r="BK39" s="1">
        <v>0</v>
      </c>
      <c r="BL39" s="1">
        <v>0</v>
      </c>
      <c r="BM39" s="1">
        <v>0</v>
      </c>
      <c r="BN39" s="1" t="s">
        <v>3348</v>
      </c>
      <c r="BO39" s="1">
        <v>0</v>
      </c>
    </row>
    <row r="40" hidden="1" spans="1:67">
      <c r="A40" s="18">
        <v>43706</v>
      </c>
      <c r="B40" s="18">
        <v>43717</v>
      </c>
      <c r="C40" s="18">
        <v>43744</v>
      </c>
      <c r="D40" s="18">
        <f ca="1" t="shared" ref="D40:I40" si="34">C40</f>
        <v>43744</v>
      </c>
      <c r="E40" s="18">
        <v>43752</v>
      </c>
      <c r="F40" s="18">
        <f ca="1" t="shared" si="34"/>
        <v>43752</v>
      </c>
      <c r="G40" s="18">
        <v>43744</v>
      </c>
      <c r="H40" s="18">
        <v>43757</v>
      </c>
      <c r="I40" s="18">
        <f ca="1" t="shared" si="34"/>
        <v>43757</v>
      </c>
      <c r="J40" s="18">
        <f ca="1" t="shared" si="1"/>
        <v>43757</v>
      </c>
      <c r="L40" s="1">
        <v>38.5</v>
      </c>
      <c r="M40" s="1" t="s">
        <v>3349</v>
      </c>
      <c r="N40" s="1">
        <v>43.3</v>
      </c>
      <c r="O40" s="1">
        <v>1249.4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 t="s">
        <v>3329</v>
      </c>
      <c r="W40" s="1">
        <v>0</v>
      </c>
      <c r="X40" s="1">
        <v>1</v>
      </c>
      <c r="Y40" s="1">
        <v>0</v>
      </c>
      <c r="Z40" s="1">
        <v>1</v>
      </c>
      <c r="AA40" s="1">
        <v>0</v>
      </c>
      <c r="AB40" s="1">
        <v>0</v>
      </c>
      <c r="AC40" s="1">
        <v>0</v>
      </c>
      <c r="AD40" s="1">
        <v>0</v>
      </c>
      <c r="AE40" s="1">
        <v>0</v>
      </c>
      <c r="AF40" s="1">
        <v>0</v>
      </c>
      <c r="AG40" s="1">
        <v>0</v>
      </c>
      <c r="AH40" s="1">
        <v>0</v>
      </c>
      <c r="AI40" s="1">
        <v>0</v>
      </c>
      <c r="AJ40" s="1">
        <v>0</v>
      </c>
      <c r="AK40" s="1">
        <v>0</v>
      </c>
      <c r="AL40" s="1">
        <v>0</v>
      </c>
      <c r="AM40" s="1">
        <v>0</v>
      </c>
      <c r="AN40" s="1">
        <v>0</v>
      </c>
      <c r="AO40" s="1">
        <v>1</v>
      </c>
      <c r="AP40" s="1">
        <v>0</v>
      </c>
      <c r="AQ40" s="1">
        <v>3</v>
      </c>
      <c r="AR40" s="1">
        <v>0</v>
      </c>
      <c r="AS40" s="1">
        <v>0</v>
      </c>
      <c r="AT40" s="1">
        <v>0</v>
      </c>
      <c r="AU40" s="1">
        <v>0</v>
      </c>
      <c r="AV40" s="1">
        <v>0</v>
      </c>
      <c r="AW40" s="1">
        <v>1</v>
      </c>
      <c r="AX40" s="1">
        <v>0</v>
      </c>
      <c r="AY40" s="1">
        <v>0</v>
      </c>
      <c r="AZ40" s="1">
        <v>0</v>
      </c>
      <c r="BA40" s="1">
        <v>0</v>
      </c>
      <c r="BB40" s="1">
        <v>0</v>
      </c>
      <c r="BC40" s="1">
        <v>0</v>
      </c>
      <c r="BD40" s="1">
        <v>0</v>
      </c>
      <c r="BE40" s="1">
        <v>3</v>
      </c>
      <c r="BF40" s="1">
        <v>0</v>
      </c>
      <c r="BG40" s="1">
        <v>0</v>
      </c>
      <c r="BH40" s="1">
        <v>1</v>
      </c>
      <c r="BI40" s="1">
        <v>0</v>
      </c>
      <c r="BJ40" s="1">
        <v>0</v>
      </c>
      <c r="BK40" s="1">
        <v>7</v>
      </c>
      <c r="BL40" s="1">
        <v>4</v>
      </c>
      <c r="BM40" s="1">
        <v>0</v>
      </c>
      <c r="BN40" s="1">
        <v>0</v>
      </c>
      <c r="BO40" s="1">
        <v>0</v>
      </c>
    </row>
    <row r="41" hidden="1" spans="1:67">
      <c r="A41" s="18">
        <v>43706</v>
      </c>
      <c r="B41" s="18">
        <v>43717</v>
      </c>
      <c r="C41" s="18">
        <v>43744</v>
      </c>
      <c r="D41" s="18">
        <f ca="1" t="shared" ref="D41:I41" si="35">C41</f>
        <v>43744</v>
      </c>
      <c r="E41" s="18">
        <v>43752</v>
      </c>
      <c r="F41" s="18">
        <f ca="1" t="shared" si="35"/>
        <v>43752</v>
      </c>
      <c r="G41" s="18">
        <v>43744</v>
      </c>
      <c r="H41" s="18">
        <v>43757</v>
      </c>
      <c r="I41" s="18">
        <f ca="1" t="shared" si="35"/>
        <v>43757</v>
      </c>
      <c r="J41" s="18">
        <f ca="1" t="shared" si="1"/>
        <v>43757</v>
      </c>
      <c r="L41" s="1">
        <v>38</v>
      </c>
      <c r="M41" s="1">
        <v>106</v>
      </c>
      <c r="N41" s="1">
        <v>36</v>
      </c>
      <c r="O41" s="1">
        <v>1287.4</v>
      </c>
      <c r="P41" s="1">
        <v>0</v>
      </c>
      <c r="Q41" s="1">
        <v>0</v>
      </c>
      <c r="R41" s="1">
        <v>0</v>
      </c>
      <c r="S41" s="1">
        <v>0</v>
      </c>
      <c r="T41" s="1">
        <v>5</v>
      </c>
      <c r="U41" s="1" t="s">
        <v>3329</v>
      </c>
      <c r="V41" s="1" t="s">
        <v>3329</v>
      </c>
      <c r="W41" s="1">
        <v>1</v>
      </c>
      <c r="X41" s="1">
        <v>0</v>
      </c>
      <c r="Y41" s="1">
        <v>1</v>
      </c>
      <c r="Z41" s="1">
        <v>0</v>
      </c>
      <c r="AA41" s="1">
        <v>0</v>
      </c>
      <c r="AB41" s="1">
        <v>0</v>
      </c>
      <c r="AC41" s="1">
        <v>1</v>
      </c>
      <c r="AD41" s="1">
        <v>0</v>
      </c>
      <c r="AE41" s="1">
        <v>0</v>
      </c>
      <c r="AF41" s="1">
        <v>0</v>
      </c>
      <c r="AG41" s="1">
        <v>0</v>
      </c>
      <c r="AH41" s="1">
        <v>0</v>
      </c>
      <c r="AI41" s="1">
        <v>0</v>
      </c>
      <c r="AJ41" s="1">
        <v>0</v>
      </c>
      <c r="AK41" s="1">
        <v>0</v>
      </c>
      <c r="AL41" s="1">
        <v>1</v>
      </c>
      <c r="AM41" s="1">
        <v>0</v>
      </c>
      <c r="AN41" s="1">
        <v>0</v>
      </c>
      <c r="AO41" s="1">
        <v>1</v>
      </c>
      <c r="AP41" s="1">
        <v>0</v>
      </c>
      <c r="AQ41" s="1">
        <v>3</v>
      </c>
      <c r="AR41" s="1">
        <v>0</v>
      </c>
      <c r="AS41" s="1">
        <v>0</v>
      </c>
      <c r="AT41" s="1">
        <v>0</v>
      </c>
      <c r="AU41" s="1">
        <v>0</v>
      </c>
      <c r="AV41" s="1">
        <v>0</v>
      </c>
      <c r="AW41" s="1">
        <v>1</v>
      </c>
      <c r="AX41" s="1">
        <v>1</v>
      </c>
      <c r="AY41" s="1">
        <v>1</v>
      </c>
      <c r="AZ41" s="1">
        <v>0</v>
      </c>
      <c r="BA41" s="1">
        <v>0</v>
      </c>
      <c r="BB41" s="1">
        <v>2</v>
      </c>
      <c r="BC41" s="1">
        <v>0</v>
      </c>
      <c r="BD41" s="1">
        <v>0</v>
      </c>
      <c r="BE41" s="1">
        <v>3</v>
      </c>
      <c r="BF41" s="1">
        <v>0</v>
      </c>
      <c r="BG41" s="1">
        <v>0</v>
      </c>
      <c r="BH41" s="1">
        <v>0</v>
      </c>
      <c r="BI41" s="1">
        <v>0</v>
      </c>
      <c r="BJ41" s="1">
        <v>0</v>
      </c>
      <c r="BK41" s="1">
        <v>0</v>
      </c>
      <c r="BL41" s="1">
        <v>0</v>
      </c>
      <c r="BM41" s="1">
        <v>0</v>
      </c>
      <c r="BN41" s="1" t="s">
        <v>3341</v>
      </c>
      <c r="BO41" s="1">
        <v>0</v>
      </c>
    </row>
    <row r="42" hidden="1" spans="1:67">
      <c r="A42" s="18">
        <v>43706</v>
      </c>
      <c r="B42" s="18">
        <v>43717</v>
      </c>
      <c r="C42" s="18">
        <v>43744</v>
      </c>
      <c r="D42" s="18">
        <f ca="1" t="shared" ref="D42:I42" si="36">C42</f>
        <v>43744</v>
      </c>
      <c r="E42" s="18">
        <v>43752</v>
      </c>
      <c r="F42" s="18">
        <f ca="1" t="shared" si="36"/>
        <v>43752</v>
      </c>
      <c r="G42" s="18">
        <v>43744</v>
      </c>
      <c r="H42" s="18">
        <v>43757</v>
      </c>
      <c r="I42" s="18">
        <f ca="1" t="shared" si="36"/>
        <v>43757</v>
      </c>
      <c r="J42" s="18">
        <f ca="1" t="shared" si="1"/>
        <v>43757</v>
      </c>
      <c r="L42" s="1">
        <v>37</v>
      </c>
      <c r="M42" s="1" t="s">
        <v>3350</v>
      </c>
      <c r="N42" s="1">
        <v>38.1</v>
      </c>
      <c r="O42" s="1">
        <v>1324.4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 t="s">
        <v>3329</v>
      </c>
      <c r="W42" s="1">
        <v>0</v>
      </c>
      <c r="X42" s="1">
        <v>1</v>
      </c>
      <c r="Y42" s="1">
        <v>0</v>
      </c>
      <c r="Z42" s="1">
        <v>1</v>
      </c>
      <c r="AA42" s="1">
        <v>0</v>
      </c>
      <c r="AB42" s="1">
        <v>0</v>
      </c>
      <c r="AC42" s="1">
        <v>0</v>
      </c>
      <c r="AD42" s="1">
        <v>0</v>
      </c>
      <c r="AE42" s="1">
        <v>0</v>
      </c>
      <c r="AF42" s="1">
        <v>0</v>
      </c>
      <c r="AG42" s="1">
        <v>0</v>
      </c>
      <c r="AH42" s="1">
        <v>0</v>
      </c>
      <c r="AI42" s="1">
        <v>0</v>
      </c>
      <c r="AJ42" s="1">
        <v>0</v>
      </c>
      <c r="AK42" s="1">
        <v>0</v>
      </c>
      <c r="AL42" s="1">
        <v>0</v>
      </c>
      <c r="AM42" s="1">
        <v>0</v>
      </c>
      <c r="AN42" s="1">
        <v>0</v>
      </c>
      <c r="AO42" s="1">
        <v>1</v>
      </c>
      <c r="AP42" s="1">
        <v>0</v>
      </c>
      <c r="AQ42" s="1">
        <v>3</v>
      </c>
      <c r="AR42" s="1">
        <v>0</v>
      </c>
      <c r="AS42" s="1">
        <v>0</v>
      </c>
      <c r="AT42" s="1">
        <v>0</v>
      </c>
      <c r="AU42" s="1">
        <v>0</v>
      </c>
      <c r="AV42" s="1">
        <v>0</v>
      </c>
      <c r="AW42" s="1">
        <v>1</v>
      </c>
      <c r="AX42" s="1">
        <v>0</v>
      </c>
      <c r="AY42" s="1">
        <v>0</v>
      </c>
      <c r="AZ42" s="1">
        <v>0</v>
      </c>
      <c r="BA42" s="1">
        <v>0</v>
      </c>
      <c r="BB42" s="1">
        <v>0</v>
      </c>
      <c r="BC42" s="1">
        <v>0</v>
      </c>
      <c r="BD42" s="1">
        <v>0</v>
      </c>
      <c r="BE42" s="1">
        <v>3</v>
      </c>
      <c r="BF42" s="1">
        <v>0</v>
      </c>
      <c r="BG42" s="1">
        <v>0</v>
      </c>
      <c r="BH42" s="1">
        <v>1</v>
      </c>
      <c r="BI42" s="1">
        <v>0</v>
      </c>
      <c r="BJ42" s="1">
        <v>0</v>
      </c>
      <c r="BK42" s="1">
        <v>4</v>
      </c>
      <c r="BL42" s="1">
        <v>4</v>
      </c>
      <c r="BM42" s="1">
        <v>0</v>
      </c>
      <c r="BN42" s="1">
        <v>0</v>
      </c>
      <c r="BO42" s="1">
        <v>0</v>
      </c>
    </row>
    <row r="43" hidden="1" spans="1:67">
      <c r="A43" s="18">
        <v>43706</v>
      </c>
      <c r="B43" s="18">
        <v>43717</v>
      </c>
      <c r="C43" s="18">
        <v>43744</v>
      </c>
      <c r="D43" s="18">
        <f ca="1" t="shared" ref="D43:I43" si="37">C43</f>
        <v>43744</v>
      </c>
      <c r="E43" s="18">
        <v>43752</v>
      </c>
      <c r="F43" s="18">
        <f ca="1" t="shared" si="37"/>
        <v>43752</v>
      </c>
      <c r="G43" s="18">
        <v>43744</v>
      </c>
      <c r="H43" s="18">
        <v>43757</v>
      </c>
      <c r="I43" s="18">
        <f ca="1" t="shared" si="37"/>
        <v>43757</v>
      </c>
      <c r="J43" s="18">
        <f ca="1" t="shared" si="1"/>
        <v>43757</v>
      </c>
      <c r="L43" s="1">
        <v>37.6</v>
      </c>
      <c r="M43" s="1">
        <v>107</v>
      </c>
      <c r="N43" s="1">
        <v>35</v>
      </c>
      <c r="O43" s="1">
        <v>1362</v>
      </c>
      <c r="P43" s="1">
        <v>0</v>
      </c>
      <c r="Q43" s="1">
        <v>0</v>
      </c>
      <c r="R43" s="1">
        <v>0</v>
      </c>
      <c r="S43" s="1">
        <v>0</v>
      </c>
      <c r="T43" s="1">
        <v>0</v>
      </c>
      <c r="U43" s="1" t="s">
        <v>3324</v>
      </c>
      <c r="V43" s="1" t="s">
        <v>3324</v>
      </c>
      <c r="W43" s="1">
        <v>1</v>
      </c>
      <c r="X43" s="1">
        <v>1</v>
      </c>
      <c r="Y43" s="1">
        <v>0</v>
      </c>
      <c r="Z43" s="1">
        <v>0</v>
      </c>
      <c r="AA43" s="1">
        <v>1</v>
      </c>
      <c r="AB43" s="1">
        <v>0</v>
      </c>
      <c r="AC43" s="1">
        <v>0</v>
      </c>
      <c r="AD43" s="1">
        <v>2</v>
      </c>
      <c r="AE43" s="1">
        <v>0</v>
      </c>
      <c r="AF43" s="1">
        <v>0</v>
      </c>
      <c r="AG43" s="1">
        <v>0</v>
      </c>
      <c r="AH43" s="1">
        <v>0</v>
      </c>
      <c r="AI43" s="1">
        <v>0</v>
      </c>
      <c r="AJ43" s="1">
        <v>0</v>
      </c>
      <c r="AK43" s="1">
        <v>0</v>
      </c>
      <c r="AL43" s="1">
        <v>0</v>
      </c>
      <c r="AM43" s="1">
        <v>1</v>
      </c>
      <c r="AN43" s="1">
        <v>0</v>
      </c>
      <c r="AO43" s="1">
        <v>0</v>
      </c>
      <c r="AP43" s="1">
        <v>0</v>
      </c>
      <c r="AQ43" s="1">
        <v>6</v>
      </c>
      <c r="AR43" s="1">
        <v>6</v>
      </c>
      <c r="AS43" s="1">
        <v>0</v>
      </c>
      <c r="AT43" s="1">
        <v>0</v>
      </c>
      <c r="AU43" s="1">
        <v>6</v>
      </c>
      <c r="AV43" s="1">
        <v>2</v>
      </c>
      <c r="AW43" s="1">
        <v>0</v>
      </c>
      <c r="AX43" s="1">
        <v>0</v>
      </c>
      <c r="AY43" s="1">
        <v>0</v>
      </c>
      <c r="AZ43" s="1">
        <v>0</v>
      </c>
      <c r="BA43" s="1">
        <v>0</v>
      </c>
      <c r="BB43" s="1">
        <v>2</v>
      </c>
      <c r="BC43" s="1">
        <v>6</v>
      </c>
      <c r="BD43" s="1">
        <v>0</v>
      </c>
      <c r="BE43" s="1">
        <v>6</v>
      </c>
      <c r="BF43" s="1">
        <v>0</v>
      </c>
      <c r="BG43" s="1">
        <v>0</v>
      </c>
      <c r="BH43" s="1">
        <v>0</v>
      </c>
      <c r="BI43" s="1">
        <v>0</v>
      </c>
      <c r="BJ43" s="1">
        <v>0</v>
      </c>
      <c r="BK43" s="1">
        <v>0</v>
      </c>
      <c r="BL43" s="1">
        <v>0</v>
      </c>
      <c r="BM43" s="1">
        <v>1.2</v>
      </c>
      <c r="BN43" s="1">
        <v>0</v>
      </c>
      <c r="BO43" s="1">
        <v>0</v>
      </c>
    </row>
    <row r="44" hidden="1" spans="1:67">
      <c r="A44" s="18">
        <v>43706</v>
      </c>
      <c r="B44" s="18">
        <v>43717</v>
      </c>
      <c r="C44" s="18">
        <v>43744</v>
      </c>
      <c r="D44" s="18">
        <f ca="1" t="shared" ref="D44:I44" si="38">C44</f>
        <v>43744</v>
      </c>
      <c r="E44" s="18">
        <v>43752</v>
      </c>
      <c r="F44" s="18">
        <f ca="1" t="shared" si="38"/>
        <v>43752</v>
      </c>
      <c r="G44" s="18">
        <v>43744</v>
      </c>
      <c r="H44" s="18">
        <v>43757</v>
      </c>
      <c r="I44" s="18">
        <f ca="1" t="shared" si="38"/>
        <v>43757</v>
      </c>
      <c r="J44" s="18">
        <f ca="1" t="shared" si="1"/>
        <v>43757</v>
      </c>
      <c r="L44" s="1">
        <v>34</v>
      </c>
      <c r="M44" s="1" t="s">
        <v>3351</v>
      </c>
      <c r="N44" s="1">
        <v>34.3</v>
      </c>
      <c r="O44" s="1">
        <v>1396</v>
      </c>
      <c r="P44" s="1">
        <v>0</v>
      </c>
      <c r="Q44" s="1">
        <v>0</v>
      </c>
      <c r="R44" s="1">
        <v>0</v>
      </c>
      <c r="S44" s="1">
        <v>0</v>
      </c>
      <c r="T44" s="1">
        <v>0</v>
      </c>
      <c r="U44" s="1">
        <v>0</v>
      </c>
      <c r="V44" s="1" t="s">
        <v>3329</v>
      </c>
      <c r="W44" s="1">
        <v>0</v>
      </c>
      <c r="X44" s="1">
        <v>1</v>
      </c>
      <c r="Y44" s="1">
        <v>0</v>
      </c>
      <c r="Z44" s="1">
        <v>1</v>
      </c>
      <c r="AA44" s="1">
        <v>0</v>
      </c>
      <c r="AB44" s="1">
        <v>0</v>
      </c>
      <c r="AC44" s="1">
        <v>0</v>
      </c>
      <c r="AD44" s="1">
        <v>0</v>
      </c>
      <c r="AE44" s="1">
        <v>0</v>
      </c>
      <c r="AF44" s="1">
        <v>0</v>
      </c>
      <c r="AG44" s="1">
        <v>0</v>
      </c>
      <c r="AH44" s="1">
        <v>0</v>
      </c>
      <c r="AI44" s="1">
        <v>0</v>
      </c>
      <c r="AJ44" s="1">
        <v>0</v>
      </c>
      <c r="AK44" s="1">
        <v>0</v>
      </c>
      <c r="AL44" s="1">
        <v>0</v>
      </c>
      <c r="AM44" s="1">
        <v>0</v>
      </c>
      <c r="AN44" s="1">
        <v>0</v>
      </c>
      <c r="AO44" s="1">
        <v>1</v>
      </c>
      <c r="AP44" s="1">
        <v>0</v>
      </c>
      <c r="AQ44" s="1">
        <v>3</v>
      </c>
      <c r="AR44" s="1">
        <v>0</v>
      </c>
      <c r="AS44" s="1">
        <v>0</v>
      </c>
      <c r="AT44" s="1">
        <v>0</v>
      </c>
      <c r="AU44" s="1">
        <v>0</v>
      </c>
      <c r="AV44" s="1">
        <v>0</v>
      </c>
      <c r="AW44" s="1">
        <v>1</v>
      </c>
      <c r="AX44" s="1">
        <v>0</v>
      </c>
      <c r="AY44" s="1">
        <v>0</v>
      </c>
      <c r="AZ44" s="1">
        <v>0</v>
      </c>
      <c r="BA44" s="1">
        <v>0</v>
      </c>
      <c r="BB44" s="1">
        <v>0</v>
      </c>
      <c r="BC44" s="1">
        <v>0</v>
      </c>
      <c r="BD44" s="1">
        <v>0</v>
      </c>
      <c r="BE44" s="1">
        <v>3</v>
      </c>
      <c r="BF44" s="1">
        <v>0</v>
      </c>
      <c r="BG44" s="1">
        <v>0</v>
      </c>
      <c r="BH44" s="1">
        <v>1</v>
      </c>
      <c r="BI44" s="1">
        <v>0</v>
      </c>
      <c r="BJ44" s="1">
        <v>0</v>
      </c>
      <c r="BK44" s="1">
        <v>5</v>
      </c>
      <c r="BL44" s="1">
        <v>4</v>
      </c>
      <c r="BM44" s="1">
        <v>0</v>
      </c>
      <c r="BN44" s="1">
        <v>0</v>
      </c>
      <c r="BO44" s="1">
        <v>0</v>
      </c>
    </row>
    <row r="45" hidden="1" spans="1:67">
      <c r="A45" s="18">
        <v>43706</v>
      </c>
      <c r="B45" s="18">
        <v>43717</v>
      </c>
      <c r="C45" s="18">
        <v>43744</v>
      </c>
      <c r="D45" s="18">
        <f ca="1" t="shared" ref="D45:I45" si="39">C45</f>
        <v>43744</v>
      </c>
      <c r="E45" s="18">
        <v>43752</v>
      </c>
      <c r="F45" s="18">
        <f ca="1" t="shared" si="39"/>
        <v>43752</v>
      </c>
      <c r="G45" s="18">
        <v>43757</v>
      </c>
      <c r="H45" s="18">
        <v>43757</v>
      </c>
      <c r="I45" s="18">
        <f ca="1" t="shared" si="39"/>
        <v>43757</v>
      </c>
      <c r="J45" s="18">
        <f ca="1" t="shared" si="1"/>
        <v>43757</v>
      </c>
      <c r="L45" s="1">
        <v>33.7</v>
      </c>
      <c r="M45" s="1">
        <v>108</v>
      </c>
      <c r="N45" s="1">
        <v>31.2</v>
      </c>
      <c r="O45" s="1">
        <v>1429.7</v>
      </c>
      <c r="P45" s="1">
        <v>0</v>
      </c>
      <c r="Q45" s="1">
        <v>0</v>
      </c>
      <c r="R45" s="1">
        <v>0</v>
      </c>
      <c r="S45" s="1">
        <v>0</v>
      </c>
      <c r="T45" s="1">
        <v>0</v>
      </c>
      <c r="U45" s="1" t="s">
        <v>3329</v>
      </c>
      <c r="V45" s="1" t="s">
        <v>3329</v>
      </c>
      <c r="W45" s="1">
        <v>1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0</v>
      </c>
      <c r="AD45" s="1">
        <v>0</v>
      </c>
      <c r="AE45" s="1">
        <v>0</v>
      </c>
      <c r="AF45" s="1">
        <v>0</v>
      </c>
      <c r="AG45" s="1">
        <v>0</v>
      </c>
      <c r="AH45" s="1">
        <v>0</v>
      </c>
      <c r="AI45" s="1">
        <v>0</v>
      </c>
      <c r="AJ45" s="1">
        <v>0</v>
      </c>
      <c r="AK45" s="1">
        <v>0</v>
      </c>
      <c r="AL45" s="1">
        <v>0</v>
      </c>
      <c r="AM45" s="1">
        <v>0</v>
      </c>
      <c r="AN45" s="1">
        <v>0</v>
      </c>
      <c r="AO45" s="1">
        <v>1</v>
      </c>
      <c r="AP45" s="1">
        <v>0</v>
      </c>
      <c r="AQ45" s="1">
        <v>3</v>
      </c>
      <c r="AR45" s="1">
        <v>0</v>
      </c>
      <c r="AS45" s="1">
        <v>0</v>
      </c>
      <c r="AT45" s="1">
        <v>0</v>
      </c>
      <c r="AU45" s="1">
        <v>0</v>
      </c>
      <c r="AV45" s="1">
        <v>0</v>
      </c>
      <c r="AW45" s="1">
        <v>1</v>
      </c>
      <c r="AX45" s="1">
        <v>0</v>
      </c>
      <c r="AY45" s="1">
        <v>0</v>
      </c>
      <c r="AZ45" s="1">
        <v>0</v>
      </c>
      <c r="BA45" s="1">
        <v>0</v>
      </c>
      <c r="BB45" s="1">
        <v>0</v>
      </c>
      <c r="BC45" s="1">
        <v>0</v>
      </c>
      <c r="BD45" s="1">
        <v>0</v>
      </c>
      <c r="BE45" s="1">
        <v>3</v>
      </c>
      <c r="BF45" s="1">
        <v>0</v>
      </c>
      <c r="BG45" s="1">
        <v>0</v>
      </c>
      <c r="BH45" s="1">
        <v>0</v>
      </c>
      <c r="BI45" s="1">
        <v>0</v>
      </c>
      <c r="BJ45" s="1">
        <v>0</v>
      </c>
      <c r="BK45" s="1">
        <v>0</v>
      </c>
      <c r="BL45" s="1">
        <v>0</v>
      </c>
      <c r="BM45" s="1">
        <v>0</v>
      </c>
      <c r="BN45" s="1">
        <v>0</v>
      </c>
      <c r="BO45" s="1">
        <v>0</v>
      </c>
    </row>
    <row r="46" hidden="1" spans="1:67">
      <c r="A46" s="18">
        <v>43706</v>
      </c>
      <c r="B46" s="18">
        <v>43717</v>
      </c>
      <c r="C46" s="18">
        <v>43744</v>
      </c>
      <c r="D46" s="18">
        <f ca="1" t="shared" ref="D46:I46" si="40">C46</f>
        <v>43744</v>
      </c>
      <c r="E46" s="18">
        <v>43752</v>
      </c>
      <c r="F46" s="18">
        <f ca="1" t="shared" si="40"/>
        <v>43752</v>
      </c>
      <c r="G46" s="18">
        <v>43744</v>
      </c>
      <c r="H46" s="18">
        <v>43757</v>
      </c>
      <c r="I46" s="18">
        <f ca="1" t="shared" si="40"/>
        <v>43757</v>
      </c>
      <c r="J46" s="18">
        <f ca="1" t="shared" si="1"/>
        <v>43757</v>
      </c>
      <c r="L46" s="1">
        <v>34</v>
      </c>
      <c r="M46" s="1" t="s">
        <v>3352</v>
      </c>
      <c r="N46" s="1">
        <v>33.2</v>
      </c>
      <c r="O46" s="1">
        <v>1463.7</v>
      </c>
      <c r="P46" s="1">
        <v>0</v>
      </c>
      <c r="Q46" s="1">
        <v>0</v>
      </c>
      <c r="R46" s="1">
        <v>0</v>
      </c>
      <c r="S46" s="1">
        <v>0</v>
      </c>
      <c r="T46" s="1">
        <v>0</v>
      </c>
      <c r="U46" s="1">
        <v>0</v>
      </c>
      <c r="V46" s="1" t="s">
        <v>3329</v>
      </c>
      <c r="W46" s="1">
        <v>0</v>
      </c>
      <c r="X46" s="1">
        <v>1</v>
      </c>
      <c r="Y46" s="1">
        <v>0</v>
      </c>
      <c r="Z46" s="1">
        <v>1</v>
      </c>
      <c r="AA46" s="1">
        <v>0</v>
      </c>
      <c r="AB46" s="1">
        <v>0</v>
      </c>
      <c r="AC46" s="1">
        <v>0</v>
      </c>
      <c r="AD46" s="1">
        <v>0</v>
      </c>
      <c r="AE46" s="1">
        <v>0</v>
      </c>
      <c r="AF46" s="1">
        <v>0</v>
      </c>
      <c r="AG46" s="1">
        <v>0</v>
      </c>
      <c r="AH46" s="1">
        <v>0</v>
      </c>
      <c r="AI46" s="1">
        <v>0</v>
      </c>
      <c r="AJ46" s="1">
        <v>0</v>
      </c>
      <c r="AK46" s="1">
        <v>0</v>
      </c>
      <c r="AL46" s="1">
        <v>0</v>
      </c>
      <c r="AM46" s="1">
        <v>0</v>
      </c>
      <c r="AN46" s="1">
        <v>0</v>
      </c>
      <c r="AO46" s="1">
        <v>1</v>
      </c>
      <c r="AP46" s="1">
        <v>0</v>
      </c>
      <c r="AQ46" s="1">
        <v>3</v>
      </c>
      <c r="AR46" s="1">
        <v>0</v>
      </c>
      <c r="AS46" s="1">
        <v>0</v>
      </c>
      <c r="AT46" s="1">
        <v>0</v>
      </c>
      <c r="AU46" s="1">
        <v>0</v>
      </c>
      <c r="AV46" s="1">
        <v>0</v>
      </c>
      <c r="AW46" s="1">
        <v>1</v>
      </c>
      <c r="AX46" s="1">
        <v>0</v>
      </c>
      <c r="AY46" s="1">
        <v>0</v>
      </c>
      <c r="AZ46" s="1">
        <v>0</v>
      </c>
      <c r="BA46" s="1">
        <v>0</v>
      </c>
      <c r="BB46" s="1">
        <v>0</v>
      </c>
      <c r="BC46" s="1">
        <v>0</v>
      </c>
      <c r="BD46" s="1">
        <v>0</v>
      </c>
      <c r="BE46" s="1">
        <v>3</v>
      </c>
      <c r="BF46" s="1">
        <v>0</v>
      </c>
      <c r="BG46" s="1">
        <v>0</v>
      </c>
      <c r="BH46" s="1">
        <v>1</v>
      </c>
      <c r="BI46" s="1">
        <v>0</v>
      </c>
      <c r="BJ46" s="1">
        <v>0</v>
      </c>
      <c r="BK46" s="1">
        <v>7</v>
      </c>
      <c r="BL46" s="1">
        <v>8</v>
      </c>
      <c r="BM46" s="1">
        <v>0</v>
      </c>
      <c r="BN46" s="1" t="s">
        <v>3340</v>
      </c>
      <c r="BO46" s="1">
        <v>0</v>
      </c>
    </row>
    <row r="47" hidden="1" spans="1:67">
      <c r="A47" s="18">
        <v>43706</v>
      </c>
      <c r="B47" s="18">
        <v>43717</v>
      </c>
      <c r="C47" s="18">
        <v>43744</v>
      </c>
      <c r="D47" s="18">
        <f ca="1" t="shared" ref="D47:I47" si="41">C47</f>
        <v>43744</v>
      </c>
      <c r="E47" s="18">
        <v>43752</v>
      </c>
      <c r="F47" s="18">
        <f ca="1" t="shared" si="41"/>
        <v>43752</v>
      </c>
      <c r="G47" s="18">
        <v>43757</v>
      </c>
      <c r="H47" s="18">
        <v>43757</v>
      </c>
      <c r="I47" s="18">
        <f ca="1" t="shared" si="41"/>
        <v>43757</v>
      </c>
      <c r="J47" s="18">
        <f ca="1" t="shared" si="1"/>
        <v>43757</v>
      </c>
      <c r="L47" s="1">
        <v>35</v>
      </c>
      <c r="M47" s="1">
        <v>109</v>
      </c>
      <c r="N47" s="1">
        <v>34.5</v>
      </c>
      <c r="O47" s="1">
        <v>1498.7</v>
      </c>
      <c r="P47" s="1">
        <v>0</v>
      </c>
      <c r="Q47" s="1">
        <v>0</v>
      </c>
      <c r="R47" s="1">
        <v>0</v>
      </c>
      <c r="S47" s="1">
        <v>0</v>
      </c>
      <c r="T47" s="1">
        <v>0</v>
      </c>
      <c r="U47" s="1" t="s">
        <v>3329</v>
      </c>
      <c r="V47" s="1" t="s">
        <v>3329</v>
      </c>
      <c r="W47" s="1">
        <v>1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0</v>
      </c>
      <c r="AD47" s="1">
        <v>0</v>
      </c>
      <c r="AE47" s="1">
        <v>0</v>
      </c>
      <c r="AF47" s="1">
        <v>0</v>
      </c>
      <c r="AG47" s="1">
        <v>0</v>
      </c>
      <c r="AH47" s="1">
        <v>0</v>
      </c>
      <c r="AI47" s="1">
        <v>0</v>
      </c>
      <c r="AJ47" s="1">
        <v>0</v>
      </c>
      <c r="AK47" s="1">
        <v>1</v>
      </c>
      <c r="AL47" s="1">
        <v>0</v>
      </c>
      <c r="AM47" s="1">
        <v>0</v>
      </c>
      <c r="AN47" s="1">
        <v>0</v>
      </c>
      <c r="AO47" s="1">
        <v>1</v>
      </c>
      <c r="AP47" s="1">
        <v>0</v>
      </c>
      <c r="AQ47" s="1">
        <v>3</v>
      </c>
      <c r="AR47" s="1">
        <v>0</v>
      </c>
      <c r="AS47" s="1">
        <v>0</v>
      </c>
      <c r="AT47" s="1">
        <v>0</v>
      </c>
      <c r="AU47" s="1">
        <v>0</v>
      </c>
      <c r="AV47" s="1">
        <v>0</v>
      </c>
      <c r="AW47" s="1">
        <v>1</v>
      </c>
      <c r="AX47" s="1">
        <v>0</v>
      </c>
      <c r="AY47" s="1">
        <v>0</v>
      </c>
      <c r="AZ47" s="1">
        <v>0</v>
      </c>
      <c r="BA47" s="1">
        <v>0</v>
      </c>
      <c r="BB47" s="1">
        <v>0</v>
      </c>
      <c r="BC47" s="1">
        <v>0</v>
      </c>
      <c r="BD47" s="1">
        <v>0</v>
      </c>
      <c r="BE47" s="1">
        <v>3</v>
      </c>
      <c r="BF47" s="1">
        <v>0</v>
      </c>
      <c r="BG47" s="1">
        <v>0</v>
      </c>
      <c r="BH47" s="1">
        <v>0</v>
      </c>
      <c r="BI47" s="1">
        <v>0</v>
      </c>
      <c r="BJ47" s="1">
        <v>0</v>
      </c>
      <c r="BK47" s="1">
        <v>0</v>
      </c>
      <c r="BL47" s="1">
        <v>0</v>
      </c>
      <c r="BM47" s="1">
        <v>0</v>
      </c>
      <c r="BN47" s="1">
        <v>0</v>
      </c>
      <c r="BO47" s="1">
        <v>0</v>
      </c>
    </row>
    <row r="48" hidden="1" spans="1:67">
      <c r="A48" s="18">
        <v>43706</v>
      </c>
      <c r="B48" s="18">
        <v>43717</v>
      </c>
      <c r="C48" s="18">
        <v>43744</v>
      </c>
      <c r="D48" s="18">
        <f ca="1" t="shared" ref="D48:I48" si="42">C48</f>
        <v>43744</v>
      </c>
      <c r="E48" s="18">
        <v>43752</v>
      </c>
      <c r="F48" s="18">
        <f ca="1" t="shared" si="42"/>
        <v>43752</v>
      </c>
      <c r="G48" s="18">
        <v>43744</v>
      </c>
      <c r="H48" s="18">
        <v>43757</v>
      </c>
      <c r="I48" s="18">
        <f ca="1" t="shared" si="42"/>
        <v>43757</v>
      </c>
      <c r="J48" s="18">
        <f ca="1" t="shared" si="1"/>
        <v>43757</v>
      </c>
      <c r="L48" s="1">
        <v>27</v>
      </c>
      <c r="M48" s="1" t="s">
        <v>3353</v>
      </c>
      <c r="N48" s="1">
        <v>23.7</v>
      </c>
      <c r="O48" s="1">
        <v>1525.7</v>
      </c>
      <c r="P48" s="1">
        <v>0</v>
      </c>
      <c r="Q48" s="1">
        <v>0</v>
      </c>
      <c r="R48" s="1">
        <v>0</v>
      </c>
      <c r="S48" s="1">
        <v>0</v>
      </c>
      <c r="T48" s="1">
        <v>0</v>
      </c>
      <c r="U48" s="1">
        <v>0</v>
      </c>
      <c r="V48" s="1" t="s">
        <v>3329</v>
      </c>
      <c r="W48" s="1">
        <v>0</v>
      </c>
      <c r="X48" s="1">
        <v>1</v>
      </c>
      <c r="Y48" s="1">
        <v>0</v>
      </c>
      <c r="Z48" s="1">
        <v>0</v>
      </c>
      <c r="AA48" s="1">
        <v>1</v>
      </c>
      <c r="AB48" s="1">
        <v>0</v>
      </c>
      <c r="AC48" s="1">
        <v>0</v>
      </c>
      <c r="AD48" s="1">
        <v>0</v>
      </c>
      <c r="AE48" s="1">
        <v>0</v>
      </c>
      <c r="AF48" s="1">
        <v>0</v>
      </c>
      <c r="AG48" s="1">
        <v>0</v>
      </c>
      <c r="AH48" s="1">
        <v>0</v>
      </c>
      <c r="AI48" s="1">
        <v>0</v>
      </c>
      <c r="AJ48" s="1">
        <v>0</v>
      </c>
      <c r="AK48" s="1">
        <v>0</v>
      </c>
      <c r="AL48" s="1">
        <v>0</v>
      </c>
      <c r="AM48" s="1">
        <v>0</v>
      </c>
      <c r="AN48" s="1">
        <v>0</v>
      </c>
      <c r="AO48" s="1">
        <v>1</v>
      </c>
      <c r="AP48" s="1">
        <v>0</v>
      </c>
      <c r="AQ48" s="1">
        <v>3</v>
      </c>
      <c r="AR48" s="1">
        <v>0</v>
      </c>
      <c r="AS48" s="1">
        <v>0</v>
      </c>
      <c r="AT48" s="1">
        <v>0</v>
      </c>
      <c r="AU48" s="1">
        <v>0</v>
      </c>
      <c r="AV48" s="1">
        <v>0</v>
      </c>
      <c r="AW48" s="1">
        <v>1</v>
      </c>
      <c r="AX48" s="1">
        <v>0</v>
      </c>
      <c r="AY48" s="1">
        <v>0</v>
      </c>
      <c r="AZ48" s="1">
        <v>0</v>
      </c>
      <c r="BA48" s="1">
        <v>0</v>
      </c>
      <c r="BB48" s="1">
        <v>0</v>
      </c>
      <c r="BC48" s="1">
        <v>0</v>
      </c>
      <c r="BD48" s="1">
        <v>0</v>
      </c>
      <c r="BE48" s="1">
        <v>3</v>
      </c>
      <c r="BF48" s="1">
        <v>0</v>
      </c>
      <c r="BG48" s="1">
        <v>0</v>
      </c>
      <c r="BH48" s="1">
        <v>1</v>
      </c>
      <c r="BI48" s="1">
        <v>0</v>
      </c>
      <c r="BJ48" s="1">
        <v>0</v>
      </c>
      <c r="BK48" s="1">
        <v>6</v>
      </c>
      <c r="BL48" s="1">
        <v>4</v>
      </c>
      <c r="BM48" s="1">
        <v>0</v>
      </c>
      <c r="BN48" s="1">
        <v>0</v>
      </c>
      <c r="BO48" s="1">
        <v>0</v>
      </c>
    </row>
    <row r="49" hidden="1" spans="1:67">
      <c r="A49" s="18">
        <v>43706</v>
      </c>
      <c r="B49" s="18">
        <v>43717</v>
      </c>
      <c r="C49" s="18">
        <v>43744</v>
      </c>
      <c r="D49" s="18">
        <f ca="1" t="shared" ref="D49:I49" si="43">C49</f>
        <v>43744</v>
      </c>
      <c r="E49" s="18">
        <v>43752</v>
      </c>
      <c r="F49" s="18">
        <f ca="1" t="shared" si="43"/>
        <v>43752</v>
      </c>
      <c r="G49" s="18">
        <v>43757</v>
      </c>
      <c r="H49" s="18">
        <v>43757</v>
      </c>
      <c r="I49" s="18">
        <f ca="1" t="shared" si="43"/>
        <v>43757</v>
      </c>
      <c r="J49" s="18">
        <f ca="1" t="shared" si="1"/>
        <v>43757</v>
      </c>
      <c r="L49" s="1">
        <v>28.1</v>
      </c>
      <c r="M49" s="1">
        <v>110</v>
      </c>
      <c r="N49" s="1">
        <v>31.2</v>
      </c>
      <c r="O49" s="1">
        <v>1553.8</v>
      </c>
      <c r="P49" s="1">
        <v>0</v>
      </c>
      <c r="Q49" s="1">
        <v>0</v>
      </c>
      <c r="R49" s="1">
        <v>0</v>
      </c>
      <c r="S49" s="1">
        <v>0</v>
      </c>
      <c r="T49" s="1">
        <v>0</v>
      </c>
      <c r="U49" s="1" t="s">
        <v>3327</v>
      </c>
      <c r="V49" s="1" t="s">
        <v>3327</v>
      </c>
      <c r="W49" s="1">
        <v>1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0</v>
      </c>
      <c r="AD49" s="1">
        <v>0</v>
      </c>
      <c r="AE49" s="1">
        <v>1</v>
      </c>
      <c r="AF49" s="1">
        <v>0</v>
      </c>
      <c r="AG49" s="1">
        <v>0</v>
      </c>
      <c r="AH49" s="1">
        <v>0</v>
      </c>
      <c r="AI49" s="1">
        <v>0</v>
      </c>
      <c r="AJ49" s="1">
        <v>0</v>
      </c>
      <c r="AK49" s="1">
        <v>0</v>
      </c>
      <c r="AL49" s="1">
        <v>0</v>
      </c>
      <c r="AM49" s="1">
        <v>0</v>
      </c>
      <c r="AN49" s="1">
        <v>0</v>
      </c>
      <c r="AO49" s="1">
        <v>0</v>
      </c>
      <c r="AP49" s="1">
        <v>1</v>
      </c>
      <c r="AQ49" s="1">
        <v>6</v>
      </c>
      <c r="AR49" s="1">
        <v>0</v>
      </c>
      <c r="AS49" s="1">
        <v>0</v>
      </c>
      <c r="AT49" s="1">
        <v>0</v>
      </c>
      <c r="AU49" s="1">
        <v>0</v>
      </c>
      <c r="AV49" s="1">
        <v>0</v>
      </c>
      <c r="AW49" s="1">
        <v>1</v>
      </c>
      <c r="AX49" s="1">
        <v>0</v>
      </c>
      <c r="AY49" s="1">
        <v>0</v>
      </c>
      <c r="AZ49" s="1">
        <v>0</v>
      </c>
      <c r="BA49" s="1">
        <v>0</v>
      </c>
      <c r="BB49" s="1">
        <v>0</v>
      </c>
      <c r="BC49" s="1">
        <v>0</v>
      </c>
      <c r="BD49" s="1">
        <v>6</v>
      </c>
      <c r="BE49" s="1">
        <v>0</v>
      </c>
      <c r="BF49" s="1">
        <v>0</v>
      </c>
      <c r="BG49" s="1">
        <v>0</v>
      </c>
      <c r="BH49" s="1">
        <v>0</v>
      </c>
      <c r="BI49" s="1">
        <v>0</v>
      </c>
      <c r="BJ49" s="1">
        <v>0</v>
      </c>
      <c r="BK49" s="1">
        <v>0</v>
      </c>
      <c r="BL49" s="1">
        <v>0</v>
      </c>
      <c r="BM49" s="1">
        <v>0</v>
      </c>
      <c r="BN49" s="1">
        <v>0</v>
      </c>
      <c r="BO49" s="1">
        <v>0</v>
      </c>
    </row>
    <row r="50" hidden="1" spans="1:67">
      <c r="A50" s="18">
        <v>43706</v>
      </c>
      <c r="B50" s="18">
        <v>43717</v>
      </c>
      <c r="C50" s="18">
        <v>43744</v>
      </c>
      <c r="D50" s="18">
        <f ca="1" t="shared" ref="D50:I50" si="44">C50</f>
        <v>43744</v>
      </c>
      <c r="E50" s="18">
        <v>43752</v>
      </c>
      <c r="F50" s="18">
        <f ca="1" t="shared" si="44"/>
        <v>43752</v>
      </c>
      <c r="G50" s="18">
        <v>43744</v>
      </c>
      <c r="H50" s="18">
        <v>43757</v>
      </c>
      <c r="I50" s="18">
        <f ca="1" t="shared" si="44"/>
        <v>43757</v>
      </c>
      <c r="J50" s="18">
        <f ca="1" t="shared" si="1"/>
        <v>43757</v>
      </c>
      <c r="L50" s="1">
        <v>35</v>
      </c>
      <c r="M50" s="1" t="s">
        <v>3354</v>
      </c>
      <c r="N50" s="1">
        <v>34.2</v>
      </c>
      <c r="O50" s="1">
        <v>1588.8</v>
      </c>
      <c r="P50" s="1">
        <v>0</v>
      </c>
      <c r="Q50" s="1">
        <v>0</v>
      </c>
      <c r="R50" s="1">
        <v>0</v>
      </c>
      <c r="S50" s="1">
        <v>0</v>
      </c>
      <c r="T50" s="1">
        <v>0</v>
      </c>
      <c r="U50" s="1">
        <v>0</v>
      </c>
      <c r="V50" s="1" t="s">
        <v>3329</v>
      </c>
      <c r="W50" s="1">
        <v>0</v>
      </c>
      <c r="X50" s="1">
        <v>1</v>
      </c>
      <c r="Y50" s="1">
        <v>0</v>
      </c>
      <c r="Z50" s="1">
        <v>0</v>
      </c>
      <c r="AA50" s="1">
        <v>1</v>
      </c>
      <c r="AB50" s="1">
        <v>0</v>
      </c>
      <c r="AC50" s="1">
        <v>0</v>
      </c>
      <c r="AD50" s="1">
        <v>0</v>
      </c>
      <c r="AE50" s="1">
        <v>0</v>
      </c>
      <c r="AF50" s="1">
        <v>0</v>
      </c>
      <c r="AG50" s="1">
        <v>0</v>
      </c>
      <c r="AH50" s="1">
        <v>0</v>
      </c>
      <c r="AI50" s="1">
        <v>0</v>
      </c>
      <c r="AJ50" s="1">
        <v>0</v>
      </c>
      <c r="AK50" s="1">
        <v>0</v>
      </c>
      <c r="AL50" s="1">
        <v>0</v>
      </c>
      <c r="AM50" s="1">
        <v>0</v>
      </c>
      <c r="AN50" s="1">
        <v>0</v>
      </c>
      <c r="AO50" s="1">
        <v>1</v>
      </c>
      <c r="AP50" s="1">
        <v>0</v>
      </c>
      <c r="AQ50" s="1">
        <v>3</v>
      </c>
      <c r="AR50" s="1">
        <v>0</v>
      </c>
      <c r="AS50" s="1">
        <v>0</v>
      </c>
      <c r="AT50" s="1">
        <v>0</v>
      </c>
      <c r="AU50" s="1">
        <v>0</v>
      </c>
      <c r="AV50" s="1">
        <v>0</v>
      </c>
      <c r="AW50" s="1">
        <v>1</v>
      </c>
      <c r="AX50" s="1">
        <v>0</v>
      </c>
      <c r="AY50" s="1">
        <v>0</v>
      </c>
      <c r="AZ50" s="1">
        <v>0</v>
      </c>
      <c r="BA50" s="1">
        <v>0</v>
      </c>
      <c r="BB50" s="1">
        <v>0</v>
      </c>
      <c r="BC50" s="1">
        <v>0</v>
      </c>
      <c r="BD50" s="1">
        <v>0</v>
      </c>
      <c r="BE50" s="1">
        <v>3</v>
      </c>
      <c r="BF50" s="1">
        <v>0</v>
      </c>
      <c r="BG50" s="1">
        <v>0</v>
      </c>
      <c r="BH50" s="1">
        <v>1</v>
      </c>
      <c r="BI50" s="1">
        <v>0</v>
      </c>
      <c r="BJ50" s="1">
        <v>0</v>
      </c>
      <c r="BK50" s="1">
        <v>3</v>
      </c>
      <c r="BL50" s="1">
        <v>4</v>
      </c>
      <c r="BM50" s="1">
        <v>0</v>
      </c>
      <c r="BN50" s="1">
        <v>0</v>
      </c>
      <c r="BO50" s="1">
        <v>0</v>
      </c>
    </row>
    <row r="51" hidden="1" spans="1:67">
      <c r="A51" s="18">
        <v>43706</v>
      </c>
      <c r="B51" s="18">
        <v>43717</v>
      </c>
      <c r="C51" s="18">
        <v>43744</v>
      </c>
      <c r="D51" s="18">
        <f ca="1" t="shared" ref="D51:I51" si="45">C51</f>
        <v>43744</v>
      </c>
      <c r="E51" s="18">
        <v>43752</v>
      </c>
      <c r="F51" s="18">
        <f ca="1" t="shared" si="45"/>
        <v>43752</v>
      </c>
      <c r="G51" s="18">
        <v>43757</v>
      </c>
      <c r="H51" s="18">
        <v>43757</v>
      </c>
      <c r="I51" s="18">
        <f ca="1" t="shared" si="45"/>
        <v>43757</v>
      </c>
      <c r="J51" s="18">
        <f ca="1" t="shared" si="1"/>
        <v>43757</v>
      </c>
      <c r="L51" s="1">
        <v>35.1</v>
      </c>
      <c r="M51" s="1">
        <v>111</v>
      </c>
      <c r="N51" s="1">
        <v>12.4</v>
      </c>
      <c r="O51" s="1">
        <v>1623.9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 t="s">
        <v>3347</v>
      </c>
      <c r="V51" s="1" t="s">
        <v>3347</v>
      </c>
      <c r="W51" s="1">
        <v>1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0</v>
      </c>
      <c r="AE51" s="1">
        <v>0</v>
      </c>
      <c r="AF51" s="1">
        <v>0</v>
      </c>
      <c r="AG51" s="1">
        <v>0</v>
      </c>
      <c r="AH51" s="1">
        <v>0</v>
      </c>
      <c r="AI51" s="1">
        <v>0</v>
      </c>
      <c r="AJ51" s="1">
        <v>0</v>
      </c>
      <c r="AK51" s="1">
        <v>0</v>
      </c>
      <c r="AL51" s="1">
        <v>0</v>
      </c>
      <c r="AM51" s="1">
        <v>0</v>
      </c>
      <c r="AN51" s="1">
        <v>0</v>
      </c>
      <c r="AO51" s="1">
        <v>1</v>
      </c>
      <c r="AP51" s="1">
        <v>0</v>
      </c>
      <c r="AQ51" s="1">
        <v>3</v>
      </c>
      <c r="AR51" s="1">
        <v>0</v>
      </c>
      <c r="AS51" s="1">
        <v>0</v>
      </c>
      <c r="AT51" s="1">
        <v>0</v>
      </c>
      <c r="AU51" s="1">
        <v>0</v>
      </c>
      <c r="AV51" s="1">
        <v>0</v>
      </c>
      <c r="AW51" s="1">
        <v>1</v>
      </c>
      <c r="AX51" s="1">
        <v>3</v>
      </c>
      <c r="AY51" s="1">
        <v>3</v>
      </c>
      <c r="AZ51" s="1">
        <v>0</v>
      </c>
      <c r="BA51" s="1">
        <v>0</v>
      </c>
      <c r="BB51" s="1">
        <v>0</v>
      </c>
      <c r="BC51" s="1">
        <v>0</v>
      </c>
      <c r="BD51" s="1">
        <v>0</v>
      </c>
      <c r="BE51" s="1">
        <v>3</v>
      </c>
      <c r="BF51" s="1">
        <v>0</v>
      </c>
      <c r="BG51" s="1">
        <v>0</v>
      </c>
      <c r="BH51" s="1">
        <v>0</v>
      </c>
      <c r="BI51" s="1">
        <v>0</v>
      </c>
      <c r="BJ51" s="1">
        <v>0</v>
      </c>
      <c r="BK51" s="1">
        <v>0</v>
      </c>
      <c r="BL51" s="1">
        <v>0</v>
      </c>
      <c r="BM51" s="1">
        <v>0</v>
      </c>
      <c r="BN51" s="1" t="s">
        <v>3355</v>
      </c>
      <c r="BO51" s="1">
        <v>0</v>
      </c>
    </row>
    <row r="52" hidden="1" spans="1:67">
      <c r="A52" s="18">
        <v>43706</v>
      </c>
      <c r="B52" s="18">
        <v>43717</v>
      </c>
      <c r="C52" s="18">
        <v>43744</v>
      </c>
      <c r="D52" s="18">
        <f ca="1" t="shared" ref="D52:I52" si="46">C52</f>
        <v>43744</v>
      </c>
      <c r="E52" s="18">
        <v>43752</v>
      </c>
      <c r="F52" s="18">
        <f ca="1" t="shared" si="46"/>
        <v>43752</v>
      </c>
      <c r="G52" s="18">
        <v>43744</v>
      </c>
      <c r="H52" s="18">
        <v>43757</v>
      </c>
      <c r="I52" s="18">
        <f ca="1" t="shared" si="46"/>
        <v>43757</v>
      </c>
      <c r="J52" s="18">
        <f ca="1" t="shared" si="1"/>
        <v>43757</v>
      </c>
      <c r="L52" s="1">
        <v>10</v>
      </c>
      <c r="M52" s="1" t="s">
        <v>3356</v>
      </c>
      <c r="N52" s="1">
        <v>29.1</v>
      </c>
      <c r="O52" s="1">
        <v>1633.9</v>
      </c>
      <c r="P52" s="1">
        <v>0</v>
      </c>
      <c r="Q52" s="1">
        <v>0</v>
      </c>
      <c r="R52" s="1">
        <v>0</v>
      </c>
      <c r="S52" s="1">
        <v>0</v>
      </c>
      <c r="T52" s="1">
        <v>0</v>
      </c>
      <c r="U52" s="1" t="s">
        <v>3329</v>
      </c>
      <c r="V52" s="1" t="s">
        <v>3329</v>
      </c>
      <c r="W52" s="1">
        <v>0</v>
      </c>
      <c r="X52" s="1">
        <v>1</v>
      </c>
      <c r="Y52" s="1">
        <v>0</v>
      </c>
      <c r="Z52" s="1">
        <v>1</v>
      </c>
      <c r="AA52" s="1">
        <v>0</v>
      </c>
      <c r="AB52" s="1">
        <v>0</v>
      </c>
      <c r="AC52" s="1">
        <v>0</v>
      </c>
      <c r="AD52" s="1">
        <v>0</v>
      </c>
      <c r="AE52" s="1">
        <v>0</v>
      </c>
      <c r="AF52" s="1">
        <v>0</v>
      </c>
      <c r="AG52" s="1">
        <v>0</v>
      </c>
      <c r="AH52" s="1">
        <v>0</v>
      </c>
      <c r="AI52" s="1">
        <v>0</v>
      </c>
      <c r="AJ52" s="1">
        <v>0</v>
      </c>
      <c r="AK52" s="1">
        <v>0</v>
      </c>
      <c r="AL52" s="1">
        <v>0</v>
      </c>
      <c r="AM52" s="1">
        <v>0</v>
      </c>
      <c r="AN52" s="1">
        <v>0</v>
      </c>
      <c r="AO52" s="1">
        <v>1</v>
      </c>
      <c r="AP52" s="1">
        <v>0</v>
      </c>
      <c r="AQ52" s="1">
        <v>3</v>
      </c>
      <c r="AR52" s="1">
        <v>0</v>
      </c>
      <c r="AS52" s="1">
        <v>0</v>
      </c>
      <c r="AT52" s="1">
        <v>0</v>
      </c>
      <c r="AU52" s="1">
        <v>0</v>
      </c>
      <c r="AV52" s="1">
        <v>0</v>
      </c>
      <c r="AW52" s="1">
        <v>1</v>
      </c>
      <c r="AX52" s="1">
        <v>0</v>
      </c>
      <c r="AY52" s="1">
        <v>0</v>
      </c>
      <c r="AZ52" s="1">
        <v>0</v>
      </c>
      <c r="BA52" s="1">
        <v>0</v>
      </c>
      <c r="BB52" s="1">
        <v>0</v>
      </c>
      <c r="BC52" s="1">
        <v>0</v>
      </c>
      <c r="BD52" s="1">
        <v>0</v>
      </c>
      <c r="BE52" s="1">
        <v>3</v>
      </c>
      <c r="BF52" s="1">
        <v>0</v>
      </c>
      <c r="BG52" s="1">
        <v>0</v>
      </c>
      <c r="BH52" s="1">
        <v>0</v>
      </c>
      <c r="BI52" s="1">
        <v>0</v>
      </c>
      <c r="BJ52" s="1">
        <v>0</v>
      </c>
      <c r="BK52" s="1">
        <v>0</v>
      </c>
      <c r="BL52" s="1">
        <v>0</v>
      </c>
      <c r="BM52" s="1">
        <v>0</v>
      </c>
      <c r="BN52" s="1">
        <v>0</v>
      </c>
      <c r="BO52" s="1">
        <v>0</v>
      </c>
    </row>
    <row r="53" hidden="1" spans="1:67">
      <c r="A53" s="18">
        <v>43706</v>
      </c>
      <c r="B53" s="18">
        <v>43717</v>
      </c>
      <c r="C53" s="18">
        <v>43744</v>
      </c>
      <c r="D53" s="18">
        <f ca="1" t="shared" ref="D53:I53" si="47">C53</f>
        <v>43744</v>
      </c>
      <c r="E53" s="18">
        <v>43752</v>
      </c>
      <c r="F53" s="18">
        <f ca="1" t="shared" si="47"/>
        <v>43752</v>
      </c>
      <c r="G53" s="18">
        <v>43744</v>
      </c>
      <c r="H53" s="18">
        <v>43757</v>
      </c>
      <c r="I53" s="18">
        <f ca="1" t="shared" si="47"/>
        <v>43757</v>
      </c>
      <c r="J53" s="18">
        <f ca="1" t="shared" si="1"/>
        <v>43757</v>
      </c>
      <c r="L53" s="1">
        <v>51.8</v>
      </c>
      <c r="M53" s="1" t="s">
        <v>3357</v>
      </c>
      <c r="N53" s="1">
        <v>52.2</v>
      </c>
      <c r="O53" s="1">
        <v>1685.7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 t="s">
        <v>3329</v>
      </c>
      <c r="V53" s="1" t="s">
        <v>3329</v>
      </c>
      <c r="W53" s="1">
        <v>0</v>
      </c>
      <c r="X53" s="1">
        <v>1</v>
      </c>
      <c r="Y53" s="1">
        <v>0</v>
      </c>
      <c r="Z53" s="1">
        <v>1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0</v>
      </c>
      <c r="AN53" s="1">
        <v>0</v>
      </c>
      <c r="AO53" s="1">
        <v>1</v>
      </c>
      <c r="AP53" s="1">
        <v>0</v>
      </c>
      <c r="AQ53" s="1">
        <v>3</v>
      </c>
      <c r="AR53" s="1">
        <v>0</v>
      </c>
      <c r="AS53" s="1">
        <v>0</v>
      </c>
      <c r="AT53" s="1">
        <v>0</v>
      </c>
      <c r="AU53" s="1">
        <v>0</v>
      </c>
      <c r="AV53" s="1">
        <v>0</v>
      </c>
      <c r="AW53" s="1">
        <v>1</v>
      </c>
      <c r="AX53" s="1">
        <v>0</v>
      </c>
      <c r="AY53" s="1">
        <v>0</v>
      </c>
      <c r="AZ53" s="1">
        <v>0</v>
      </c>
      <c r="BA53" s="1">
        <v>0</v>
      </c>
      <c r="BB53" s="1">
        <v>0</v>
      </c>
      <c r="BC53" s="1">
        <v>0</v>
      </c>
      <c r="BD53" s="1">
        <v>0</v>
      </c>
      <c r="BE53" s="1">
        <v>3</v>
      </c>
      <c r="BF53" s="1">
        <v>0</v>
      </c>
      <c r="BG53" s="1">
        <v>0</v>
      </c>
      <c r="BH53" s="1">
        <v>0</v>
      </c>
      <c r="BI53" s="1">
        <v>0</v>
      </c>
      <c r="BJ53" s="1">
        <v>0</v>
      </c>
      <c r="BK53" s="1">
        <v>0</v>
      </c>
      <c r="BL53" s="1">
        <v>0</v>
      </c>
      <c r="BM53" s="1">
        <v>0</v>
      </c>
      <c r="BN53" s="1">
        <v>0</v>
      </c>
      <c r="BO53" s="1">
        <v>0</v>
      </c>
    </row>
    <row r="54" hidden="1" spans="1:67">
      <c r="A54" s="18">
        <v>43706</v>
      </c>
      <c r="B54" s="18">
        <v>43717</v>
      </c>
      <c r="C54" s="18">
        <v>43744</v>
      </c>
      <c r="D54" s="18">
        <f ca="1" t="shared" ref="D54:I54" si="48">C54</f>
        <v>43744</v>
      </c>
      <c r="E54" s="18">
        <v>43752</v>
      </c>
      <c r="F54" s="18">
        <f ca="1" t="shared" si="48"/>
        <v>43752</v>
      </c>
      <c r="G54" s="18">
        <v>43757</v>
      </c>
      <c r="H54" s="18">
        <v>43757</v>
      </c>
      <c r="I54" s="18">
        <f ca="1" t="shared" si="48"/>
        <v>43757</v>
      </c>
      <c r="J54" s="18">
        <f ca="1" t="shared" si="1"/>
        <v>43757</v>
      </c>
      <c r="L54" s="1">
        <v>10</v>
      </c>
      <c r="M54" s="1">
        <v>112</v>
      </c>
      <c r="N54" s="1">
        <v>11.3</v>
      </c>
      <c r="O54" s="1">
        <v>1695.7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 t="s">
        <v>3329</v>
      </c>
      <c r="V54" s="1" t="s">
        <v>3329</v>
      </c>
      <c r="W54" s="1">
        <v>1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1">
        <v>0</v>
      </c>
      <c r="AJ54" s="1">
        <v>0</v>
      </c>
      <c r="AK54" s="1">
        <v>1</v>
      </c>
      <c r="AL54" s="1">
        <v>0</v>
      </c>
      <c r="AM54" s="1">
        <v>0</v>
      </c>
      <c r="AN54" s="1">
        <v>0</v>
      </c>
      <c r="AO54" s="1">
        <v>1</v>
      </c>
      <c r="AP54" s="1">
        <v>0</v>
      </c>
      <c r="AQ54" s="1">
        <v>3</v>
      </c>
      <c r="AR54" s="1">
        <v>0</v>
      </c>
      <c r="AS54" s="1">
        <v>0</v>
      </c>
      <c r="AT54" s="1">
        <v>0</v>
      </c>
      <c r="AU54" s="1">
        <v>0</v>
      </c>
      <c r="AV54" s="1">
        <v>0</v>
      </c>
      <c r="AW54" s="1">
        <v>1</v>
      </c>
      <c r="AX54" s="1">
        <v>0</v>
      </c>
      <c r="AY54" s="1">
        <v>0</v>
      </c>
      <c r="AZ54" s="1">
        <v>0</v>
      </c>
      <c r="BA54" s="1">
        <v>0</v>
      </c>
      <c r="BB54" s="1">
        <v>0</v>
      </c>
      <c r="BC54" s="1">
        <v>0</v>
      </c>
      <c r="BD54" s="1">
        <v>0</v>
      </c>
      <c r="BE54" s="1">
        <v>3</v>
      </c>
      <c r="BF54" s="1">
        <v>0</v>
      </c>
      <c r="BG54" s="1">
        <v>0</v>
      </c>
      <c r="BH54" s="1">
        <v>0</v>
      </c>
      <c r="BI54" s="1">
        <v>0</v>
      </c>
      <c r="BJ54" s="1">
        <v>0</v>
      </c>
      <c r="BK54" s="1">
        <v>0</v>
      </c>
      <c r="BL54" s="1">
        <v>0</v>
      </c>
      <c r="BM54" s="1">
        <v>0</v>
      </c>
      <c r="BN54" s="1">
        <v>0</v>
      </c>
      <c r="BO54" s="1">
        <v>0</v>
      </c>
    </row>
    <row r="55" hidden="1" spans="1:67">
      <c r="A55" s="18">
        <v>43707</v>
      </c>
      <c r="B55" s="18">
        <v>43717</v>
      </c>
      <c r="C55" s="18">
        <v>43744</v>
      </c>
      <c r="D55" s="18">
        <f ca="1" t="shared" ref="D55:I55" si="49">C55</f>
        <v>43744</v>
      </c>
      <c r="E55" s="18">
        <v>43752</v>
      </c>
      <c r="F55" s="18">
        <f ca="1" t="shared" si="49"/>
        <v>43752</v>
      </c>
      <c r="G55" s="18">
        <v>43744</v>
      </c>
      <c r="H55" s="18">
        <v>43757</v>
      </c>
      <c r="I55" s="18">
        <f ca="1" t="shared" si="49"/>
        <v>43757</v>
      </c>
      <c r="J55" s="18">
        <f ca="1" t="shared" si="1"/>
        <v>43757</v>
      </c>
      <c r="L55" s="1">
        <v>37.7</v>
      </c>
      <c r="M55" s="1" t="s">
        <v>3358</v>
      </c>
      <c r="N55" s="1">
        <v>24.1</v>
      </c>
      <c r="O55" s="1">
        <v>1733.4</v>
      </c>
      <c r="P55" s="1">
        <v>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 t="s">
        <v>3329</v>
      </c>
      <c r="W55" s="1">
        <v>0</v>
      </c>
      <c r="X55" s="1">
        <v>1</v>
      </c>
      <c r="Y55" s="1">
        <v>0</v>
      </c>
      <c r="Z55" s="1">
        <v>0</v>
      </c>
      <c r="AA55" s="1">
        <v>1</v>
      </c>
      <c r="AB55" s="1">
        <v>0</v>
      </c>
      <c r="AC55" s="1">
        <v>0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>
        <v>0</v>
      </c>
      <c r="AJ55" s="1">
        <v>0</v>
      </c>
      <c r="AK55" s="1">
        <v>0</v>
      </c>
      <c r="AL55" s="1">
        <v>0</v>
      </c>
      <c r="AM55" s="1">
        <v>0</v>
      </c>
      <c r="AN55" s="1">
        <v>0</v>
      </c>
      <c r="AO55" s="1">
        <v>1</v>
      </c>
      <c r="AP55" s="1">
        <v>0</v>
      </c>
      <c r="AQ55" s="1">
        <v>3</v>
      </c>
      <c r="AR55" s="1">
        <v>0</v>
      </c>
      <c r="AS55" s="1">
        <v>0</v>
      </c>
      <c r="AT55" s="1">
        <v>0</v>
      </c>
      <c r="AU55" s="1">
        <v>0</v>
      </c>
      <c r="AV55" s="1">
        <v>0</v>
      </c>
      <c r="AW55" s="1">
        <v>1</v>
      </c>
      <c r="AX55" s="1">
        <v>0</v>
      </c>
      <c r="AY55" s="1">
        <v>0</v>
      </c>
      <c r="AZ55" s="1">
        <v>0</v>
      </c>
      <c r="BA55" s="1">
        <v>0</v>
      </c>
      <c r="BB55" s="1">
        <v>0</v>
      </c>
      <c r="BC55" s="1">
        <v>0</v>
      </c>
      <c r="BD55" s="1">
        <v>0</v>
      </c>
      <c r="BE55" s="1">
        <v>3</v>
      </c>
      <c r="BF55" s="1">
        <v>0</v>
      </c>
      <c r="BG55" s="1">
        <v>0</v>
      </c>
      <c r="BH55" s="1">
        <v>1</v>
      </c>
      <c r="BI55" s="1">
        <v>0</v>
      </c>
      <c r="BJ55" s="1">
        <v>0</v>
      </c>
      <c r="BK55" s="1">
        <v>6</v>
      </c>
      <c r="BL55" s="1">
        <v>4</v>
      </c>
      <c r="BM55" s="1">
        <v>0</v>
      </c>
      <c r="BN55" s="1">
        <v>0</v>
      </c>
      <c r="BO55" s="1">
        <v>0</v>
      </c>
    </row>
    <row r="56" hidden="1" spans="1:67">
      <c r="A56" s="18">
        <v>43707</v>
      </c>
      <c r="B56" s="18">
        <v>43717</v>
      </c>
      <c r="C56" s="18">
        <v>43744</v>
      </c>
      <c r="D56" s="18">
        <f ca="1" t="shared" ref="D56:I56" si="50">C56</f>
        <v>43744</v>
      </c>
      <c r="E56" s="18">
        <v>43752</v>
      </c>
      <c r="F56" s="18">
        <f ca="1" t="shared" si="50"/>
        <v>43752</v>
      </c>
      <c r="G56" s="18">
        <v>43757</v>
      </c>
      <c r="H56" s="18">
        <v>43757</v>
      </c>
      <c r="I56" s="18">
        <f ca="1" t="shared" si="50"/>
        <v>43757</v>
      </c>
      <c r="J56" s="18">
        <f ca="1" t="shared" si="1"/>
        <v>43757</v>
      </c>
      <c r="L56" s="1">
        <v>37</v>
      </c>
      <c r="M56" s="1">
        <v>113</v>
      </c>
      <c r="N56" s="1">
        <v>48.5</v>
      </c>
      <c r="O56" s="1">
        <v>1770.4</v>
      </c>
      <c r="P56" s="1">
        <v>0</v>
      </c>
      <c r="Q56" s="1">
        <v>0</v>
      </c>
      <c r="R56" s="1">
        <v>0</v>
      </c>
      <c r="S56" s="1">
        <v>0</v>
      </c>
      <c r="T56" s="1">
        <v>0</v>
      </c>
      <c r="U56" s="1" t="s">
        <v>3329</v>
      </c>
      <c r="V56" s="1" t="s">
        <v>3329</v>
      </c>
      <c r="W56" s="1">
        <v>1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0</v>
      </c>
      <c r="AD56" s="1">
        <v>0</v>
      </c>
      <c r="AE56" s="1">
        <v>0</v>
      </c>
      <c r="AF56" s="1">
        <v>0</v>
      </c>
      <c r="AG56" s="1">
        <v>0</v>
      </c>
      <c r="AH56" s="1">
        <v>0</v>
      </c>
      <c r="AI56" s="1">
        <v>0</v>
      </c>
      <c r="AJ56" s="1">
        <v>0</v>
      </c>
      <c r="AK56" s="1">
        <v>0</v>
      </c>
      <c r="AL56" s="1">
        <v>0</v>
      </c>
      <c r="AM56" s="1">
        <v>0</v>
      </c>
      <c r="AN56" s="1">
        <v>0</v>
      </c>
      <c r="AO56" s="1">
        <v>1</v>
      </c>
      <c r="AP56" s="1">
        <v>0</v>
      </c>
      <c r="AQ56" s="1">
        <v>3</v>
      </c>
      <c r="AR56" s="1">
        <v>0</v>
      </c>
      <c r="AS56" s="1">
        <v>0</v>
      </c>
      <c r="AT56" s="1">
        <v>0</v>
      </c>
      <c r="AU56" s="1">
        <v>0</v>
      </c>
      <c r="AV56" s="1">
        <v>0</v>
      </c>
      <c r="AW56" s="1">
        <v>1</v>
      </c>
      <c r="AX56" s="1">
        <v>0</v>
      </c>
      <c r="AY56" s="1">
        <v>0</v>
      </c>
      <c r="AZ56" s="1">
        <v>0</v>
      </c>
      <c r="BA56" s="1">
        <v>0</v>
      </c>
      <c r="BB56" s="1">
        <v>0</v>
      </c>
      <c r="BC56" s="1">
        <v>0</v>
      </c>
      <c r="BD56" s="1">
        <v>0</v>
      </c>
      <c r="BE56" s="1">
        <v>3</v>
      </c>
      <c r="BF56" s="1">
        <v>0</v>
      </c>
      <c r="BG56" s="1">
        <v>0</v>
      </c>
      <c r="BH56" s="1">
        <v>0</v>
      </c>
      <c r="BI56" s="1">
        <v>0</v>
      </c>
      <c r="BJ56" s="1">
        <v>0</v>
      </c>
      <c r="BK56" s="1">
        <v>0</v>
      </c>
      <c r="BL56" s="1">
        <v>0</v>
      </c>
      <c r="BM56" s="1">
        <v>0</v>
      </c>
      <c r="BN56" s="1">
        <v>0</v>
      </c>
      <c r="BO56" s="1">
        <v>0</v>
      </c>
    </row>
    <row r="57" hidden="1" spans="1:67">
      <c r="A57" s="18">
        <v>43707</v>
      </c>
      <c r="B57" s="18">
        <v>43717</v>
      </c>
      <c r="C57" s="18">
        <v>43744</v>
      </c>
      <c r="D57" s="18">
        <f ca="1" t="shared" ref="D57:I57" si="51">C57</f>
        <v>43744</v>
      </c>
      <c r="E57" s="18">
        <v>43752</v>
      </c>
      <c r="F57" s="18">
        <f ca="1" t="shared" si="51"/>
        <v>43752</v>
      </c>
      <c r="G57" s="18">
        <v>43744</v>
      </c>
      <c r="H57" s="18">
        <v>43757</v>
      </c>
      <c r="I57" s="18">
        <f ca="1" t="shared" si="51"/>
        <v>43757</v>
      </c>
      <c r="J57" s="18">
        <f ca="1" t="shared" si="1"/>
        <v>43757</v>
      </c>
      <c r="L57" s="1">
        <v>33</v>
      </c>
      <c r="M57" s="1" t="s">
        <v>3359</v>
      </c>
      <c r="N57" s="1">
        <v>33.1</v>
      </c>
      <c r="O57" s="1">
        <v>1803.4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 t="s">
        <v>3324</v>
      </c>
      <c r="W57" s="1">
        <v>0</v>
      </c>
      <c r="X57" s="1">
        <v>2</v>
      </c>
      <c r="Y57" s="1">
        <v>0</v>
      </c>
      <c r="Z57" s="1">
        <v>0</v>
      </c>
      <c r="AA57" s="1">
        <v>0</v>
      </c>
      <c r="AB57" s="1">
        <v>1</v>
      </c>
      <c r="AC57" s="1">
        <v>0</v>
      </c>
      <c r="AD57" s="1">
        <v>0</v>
      </c>
      <c r="AE57" s="1">
        <v>0</v>
      </c>
      <c r="AF57" s="1">
        <v>0</v>
      </c>
      <c r="AG57" s="1">
        <v>0</v>
      </c>
      <c r="AH57" s="1">
        <v>0</v>
      </c>
      <c r="AI57" s="1">
        <v>0</v>
      </c>
      <c r="AJ57" s="1">
        <v>0</v>
      </c>
      <c r="AK57" s="1">
        <v>0</v>
      </c>
      <c r="AL57" s="1">
        <v>0</v>
      </c>
      <c r="AM57" s="1">
        <v>0</v>
      </c>
      <c r="AN57" s="1">
        <v>1</v>
      </c>
      <c r="AO57" s="1">
        <v>0</v>
      </c>
      <c r="AP57" s="1">
        <v>0</v>
      </c>
      <c r="AQ57" s="1">
        <v>6</v>
      </c>
      <c r="AR57" s="1">
        <v>6</v>
      </c>
      <c r="AS57" s="1">
        <v>0</v>
      </c>
      <c r="AT57" s="1">
        <v>0</v>
      </c>
      <c r="AU57" s="1">
        <v>6</v>
      </c>
      <c r="AV57" s="1">
        <v>2</v>
      </c>
      <c r="AW57" s="1">
        <v>0</v>
      </c>
      <c r="AX57" s="1">
        <v>0</v>
      </c>
      <c r="AY57" s="1">
        <v>0</v>
      </c>
      <c r="AZ57" s="1">
        <v>0</v>
      </c>
      <c r="BA57" s="1">
        <v>0</v>
      </c>
      <c r="BB57" s="1">
        <v>0</v>
      </c>
      <c r="BC57" s="1">
        <v>0</v>
      </c>
      <c r="BD57" s="1">
        <v>0</v>
      </c>
      <c r="BE57" s="1">
        <v>6</v>
      </c>
      <c r="BF57" s="1">
        <v>0</v>
      </c>
      <c r="BG57" s="1">
        <v>0</v>
      </c>
      <c r="BH57" s="1">
        <v>1</v>
      </c>
      <c r="BI57" s="1">
        <v>0</v>
      </c>
      <c r="BJ57" s="1">
        <v>0</v>
      </c>
      <c r="BK57" s="1">
        <v>10</v>
      </c>
      <c r="BL57" s="1">
        <v>8</v>
      </c>
      <c r="BM57" s="1">
        <v>0</v>
      </c>
      <c r="BN57" s="1">
        <v>0</v>
      </c>
      <c r="BO57" s="1">
        <v>0</v>
      </c>
    </row>
    <row r="58" hidden="1" spans="1:67">
      <c r="A58" s="18">
        <v>43707</v>
      </c>
      <c r="B58" s="18">
        <v>43717</v>
      </c>
      <c r="C58" s="18">
        <v>43744</v>
      </c>
      <c r="D58" s="18">
        <f ca="1" t="shared" ref="D58:I58" si="52">C58</f>
        <v>43744</v>
      </c>
      <c r="E58" s="18">
        <v>43752</v>
      </c>
      <c r="F58" s="18">
        <f ca="1" t="shared" si="52"/>
        <v>43752</v>
      </c>
      <c r="G58" s="18">
        <v>43757</v>
      </c>
      <c r="H58" s="18">
        <v>43757</v>
      </c>
      <c r="I58" s="18">
        <f ca="1" t="shared" si="52"/>
        <v>43757</v>
      </c>
      <c r="J58" s="18">
        <f ca="1" t="shared" si="1"/>
        <v>43757</v>
      </c>
      <c r="L58" s="1">
        <v>32</v>
      </c>
      <c r="M58" s="1">
        <v>114</v>
      </c>
      <c r="N58" s="1">
        <v>35.3</v>
      </c>
      <c r="O58" s="1">
        <v>1835.4</v>
      </c>
      <c r="P58" s="1">
        <v>0</v>
      </c>
      <c r="Q58" s="1">
        <v>0</v>
      </c>
      <c r="R58" s="1">
        <v>0</v>
      </c>
      <c r="S58" s="1">
        <v>0</v>
      </c>
      <c r="T58" s="1">
        <v>0</v>
      </c>
      <c r="U58" s="1" t="s">
        <v>3329</v>
      </c>
      <c r="V58" s="1" t="s">
        <v>3329</v>
      </c>
      <c r="W58" s="1">
        <v>1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0</v>
      </c>
      <c r="AD58" s="1">
        <v>0</v>
      </c>
      <c r="AE58" s="1">
        <v>0</v>
      </c>
      <c r="AF58" s="1">
        <v>0</v>
      </c>
      <c r="AG58" s="1">
        <v>0</v>
      </c>
      <c r="AH58" s="1">
        <v>0</v>
      </c>
      <c r="AI58" s="1">
        <v>0</v>
      </c>
      <c r="AJ58" s="1">
        <v>0</v>
      </c>
      <c r="AK58" s="1">
        <v>0</v>
      </c>
      <c r="AL58" s="1">
        <v>0</v>
      </c>
      <c r="AM58" s="1">
        <v>0</v>
      </c>
      <c r="AN58" s="1">
        <v>0</v>
      </c>
      <c r="AO58" s="1">
        <v>1</v>
      </c>
      <c r="AP58" s="1">
        <v>0</v>
      </c>
      <c r="AQ58" s="1">
        <v>3</v>
      </c>
      <c r="AR58" s="1">
        <v>0</v>
      </c>
      <c r="AS58" s="1">
        <v>0</v>
      </c>
      <c r="AT58" s="1">
        <v>0</v>
      </c>
      <c r="AU58" s="1">
        <v>0</v>
      </c>
      <c r="AV58" s="1">
        <v>0</v>
      </c>
      <c r="AW58" s="1">
        <v>1</v>
      </c>
      <c r="AX58" s="1">
        <v>0</v>
      </c>
      <c r="AY58" s="1">
        <v>0</v>
      </c>
      <c r="AZ58" s="1">
        <v>0</v>
      </c>
      <c r="BA58" s="1">
        <v>0</v>
      </c>
      <c r="BB58" s="1">
        <v>0</v>
      </c>
      <c r="BC58" s="1">
        <v>0</v>
      </c>
      <c r="BD58" s="1">
        <v>0</v>
      </c>
      <c r="BE58" s="1">
        <v>3</v>
      </c>
      <c r="BF58" s="1">
        <v>0</v>
      </c>
      <c r="BG58" s="1">
        <v>0</v>
      </c>
      <c r="BH58" s="1">
        <v>0</v>
      </c>
      <c r="BI58" s="1">
        <v>0</v>
      </c>
      <c r="BJ58" s="1">
        <v>0</v>
      </c>
      <c r="BK58" s="1">
        <v>0</v>
      </c>
      <c r="BL58" s="1">
        <v>0</v>
      </c>
      <c r="BM58" s="1">
        <v>0</v>
      </c>
      <c r="BN58" s="1">
        <v>0</v>
      </c>
      <c r="BO58" s="1">
        <v>0</v>
      </c>
    </row>
    <row r="59" hidden="1" spans="1:67">
      <c r="A59" s="18">
        <v>43707</v>
      </c>
      <c r="B59" s="18">
        <v>43717</v>
      </c>
      <c r="C59" s="18">
        <v>43744</v>
      </c>
      <c r="D59" s="18">
        <f ca="1" t="shared" ref="D59:I59" si="53">C59</f>
        <v>43744</v>
      </c>
      <c r="E59" s="18">
        <v>43752</v>
      </c>
      <c r="F59" s="18">
        <f ca="1" t="shared" si="53"/>
        <v>43752</v>
      </c>
      <c r="G59" s="18">
        <v>43744</v>
      </c>
      <c r="H59" s="18">
        <v>43757</v>
      </c>
      <c r="I59" s="18">
        <f ca="1" t="shared" si="53"/>
        <v>43757</v>
      </c>
      <c r="J59" s="18">
        <f ca="1" t="shared" si="1"/>
        <v>43757</v>
      </c>
      <c r="L59" s="1">
        <v>42</v>
      </c>
      <c r="M59" s="1" t="s">
        <v>3360</v>
      </c>
      <c r="N59" s="1">
        <v>30.6</v>
      </c>
      <c r="O59" s="1">
        <v>1877.4</v>
      </c>
      <c r="P59" s="1">
        <v>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 t="s">
        <v>3329</v>
      </c>
      <c r="W59" s="1">
        <v>0</v>
      </c>
      <c r="X59" s="1">
        <v>1</v>
      </c>
      <c r="Y59" s="1">
        <v>0</v>
      </c>
      <c r="Z59" s="1">
        <v>1</v>
      </c>
      <c r="AA59" s="1">
        <v>0</v>
      </c>
      <c r="AB59" s="1">
        <v>0</v>
      </c>
      <c r="AC59" s="1">
        <v>0</v>
      </c>
      <c r="AD59" s="1">
        <v>0</v>
      </c>
      <c r="AE59" s="1">
        <v>0</v>
      </c>
      <c r="AF59" s="1">
        <v>0</v>
      </c>
      <c r="AG59" s="1">
        <v>0</v>
      </c>
      <c r="AH59" s="1">
        <v>0</v>
      </c>
      <c r="AI59" s="1">
        <v>0</v>
      </c>
      <c r="AJ59" s="1">
        <v>0</v>
      </c>
      <c r="AK59" s="1">
        <v>0</v>
      </c>
      <c r="AL59" s="1">
        <v>0</v>
      </c>
      <c r="AM59" s="1">
        <v>0</v>
      </c>
      <c r="AN59" s="1">
        <v>0</v>
      </c>
      <c r="AO59" s="1">
        <v>1</v>
      </c>
      <c r="AP59" s="1">
        <v>0</v>
      </c>
      <c r="AQ59" s="1">
        <v>3</v>
      </c>
      <c r="AR59" s="1">
        <v>0</v>
      </c>
      <c r="AS59" s="1">
        <v>0</v>
      </c>
      <c r="AT59" s="1">
        <v>0</v>
      </c>
      <c r="AU59" s="1">
        <v>0</v>
      </c>
      <c r="AV59" s="1">
        <v>0</v>
      </c>
      <c r="AW59" s="1">
        <v>1</v>
      </c>
      <c r="AX59" s="1">
        <v>0</v>
      </c>
      <c r="AY59" s="1">
        <v>0</v>
      </c>
      <c r="AZ59" s="1">
        <v>0</v>
      </c>
      <c r="BA59" s="1">
        <v>0</v>
      </c>
      <c r="BB59" s="1">
        <v>0</v>
      </c>
      <c r="BC59" s="1">
        <v>0</v>
      </c>
      <c r="BD59" s="1">
        <v>0</v>
      </c>
      <c r="BE59" s="1">
        <v>3</v>
      </c>
      <c r="BF59" s="1">
        <v>0</v>
      </c>
      <c r="BG59" s="1">
        <v>0</v>
      </c>
      <c r="BH59" s="1">
        <v>1</v>
      </c>
      <c r="BI59" s="1">
        <v>0</v>
      </c>
      <c r="BJ59" s="1">
        <v>0</v>
      </c>
      <c r="BK59" s="1">
        <v>5</v>
      </c>
      <c r="BL59" s="1">
        <v>4</v>
      </c>
      <c r="BM59" s="1">
        <v>0</v>
      </c>
      <c r="BN59" s="1">
        <v>0</v>
      </c>
      <c r="BO59" s="1">
        <v>0</v>
      </c>
    </row>
    <row r="60" hidden="1" spans="1:67">
      <c r="A60" s="18">
        <v>43707</v>
      </c>
      <c r="B60" s="18">
        <v>43717</v>
      </c>
      <c r="C60" s="18">
        <v>43744</v>
      </c>
      <c r="D60" s="18">
        <f ca="1" t="shared" ref="D60:I60" si="54">C60</f>
        <v>43744</v>
      </c>
      <c r="E60" s="18">
        <v>43752</v>
      </c>
      <c r="F60" s="18">
        <f ca="1" t="shared" si="54"/>
        <v>43752</v>
      </c>
      <c r="G60" s="18">
        <v>43744</v>
      </c>
      <c r="H60" s="18">
        <v>43757</v>
      </c>
      <c r="I60" s="18">
        <f ca="1" t="shared" si="54"/>
        <v>43757</v>
      </c>
      <c r="J60" s="18">
        <f ca="1" t="shared" si="1"/>
        <v>43757</v>
      </c>
      <c r="L60" s="1">
        <v>39.4</v>
      </c>
      <c r="M60" s="1">
        <v>115</v>
      </c>
      <c r="N60" s="1">
        <v>48.6</v>
      </c>
      <c r="O60" s="1">
        <v>1916.8</v>
      </c>
      <c r="P60" s="1">
        <v>0</v>
      </c>
      <c r="Q60" s="1">
        <v>0</v>
      </c>
      <c r="R60" s="1">
        <v>0</v>
      </c>
      <c r="S60" s="1">
        <v>0</v>
      </c>
      <c r="T60" s="1">
        <v>0</v>
      </c>
      <c r="U60" s="1" t="s">
        <v>3329</v>
      </c>
      <c r="V60" s="1" t="s">
        <v>3329</v>
      </c>
      <c r="W60" s="1">
        <v>1</v>
      </c>
      <c r="X60" s="1">
        <v>1</v>
      </c>
      <c r="Y60" s="1">
        <v>0</v>
      </c>
      <c r="Z60" s="1">
        <v>1</v>
      </c>
      <c r="AA60" s="1">
        <v>0</v>
      </c>
      <c r="AB60" s="1">
        <v>0</v>
      </c>
      <c r="AC60" s="1">
        <v>0</v>
      </c>
      <c r="AD60" s="1">
        <v>0</v>
      </c>
      <c r="AE60" s="1">
        <v>0</v>
      </c>
      <c r="AF60" s="1">
        <v>0</v>
      </c>
      <c r="AG60" s="1">
        <v>0</v>
      </c>
      <c r="AH60" s="1">
        <v>0</v>
      </c>
      <c r="AI60" s="1">
        <v>0</v>
      </c>
      <c r="AJ60" s="1">
        <v>0</v>
      </c>
      <c r="AK60" s="1">
        <v>1</v>
      </c>
      <c r="AL60" s="1">
        <v>0</v>
      </c>
      <c r="AM60" s="1">
        <v>0</v>
      </c>
      <c r="AN60" s="1">
        <v>0</v>
      </c>
      <c r="AO60" s="1">
        <v>1</v>
      </c>
      <c r="AP60" s="1">
        <v>0</v>
      </c>
      <c r="AQ60" s="1">
        <v>3</v>
      </c>
      <c r="AR60" s="1">
        <v>0</v>
      </c>
      <c r="AS60" s="1">
        <v>0</v>
      </c>
      <c r="AT60" s="1">
        <v>0</v>
      </c>
      <c r="AU60" s="1">
        <v>0</v>
      </c>
      <c r="AV60" s="1">
        <v>0</v>
      </c>
      <c r="AW60" s="1">
        <v>1</v>
      </c>
      <c r="AX60" s="1">
        <v>0</v>
      </c>
      <c r="AY60" s="1">
        <v>0</v>
      </c>
      <c r="AZ60" s="1">
        <v>0</v>
      </c>
      <c r="BA60" s="1">
        <v>0</v>
      </c>
      <c r="BB60" s="1">
        <v>0</v>
      </c>
      <c r="BC60" s="1">
        <v>0</v>
      </c>
      <c r="BD60" s="1">
        <v>0</v>
      </c>
      <c r="BE60" s="1">
        <v>3</v>
      </c>
      <c r="BF60" s="1">
        <v>0</v>
      </c>
      <c r="BG60" s="1">
        <v>0</v>
      </c>
      <c r="BH60" s="1">
        <v>0</v>
      </c>
      <c r="BI60" s="1">
        <v>0</v>
      </c>
      <c r="BJ60" s="1">
        <v>0</v>
      </c>
      <c r="BK60" s="1">
        <v>0</v>
      </c>
      <c r="BL60" s="1">
        <v>0</v>
      </c>
      <c r="BM60" s="1">
        <v>0</v>
      </c>
      <c r="BN60" s="1" t="s">
        <v>3361</v>
      </c>
      <c r="BO60" s="1">
        <v>0</v>
      </c>
    </row>
    <row r="61" hidden="1" spans="1:67">
      <c r="A61" s="18">
        <v>43707</v>
      </c>
      <c r="B61" s="18">
        <v>43717</v>
      </c>
      <c r="C61" s="18">
        <v>43744</v>
      </c>
      <c r="D61" s="18">
        <f ca="1" t="shared" ref="D61:I61" si="55">C61</f>
        <v>43744</v>
      </c>
      <c r="E61" s="18">
        <v>43752</v>
      </c>
      <c r="F61" s="18">
        <f ca="1" t="shared" si="55"/>
        <v>43752</v>
      </c>
      <c r="G61" s="18">
        <v>43744</v>
      </c>
      <c r="H61" s="18">
        <v>43757</v>
      </c>
      <c r="I61" s="18">
        <f ca="1" t="shared" si="55"/>
        <v>43757</v>
      </c>
      <c r="J61" s="18">
        <f ca="1" t="shared" si="1"/>
        <v>43757</v>
      </c>
      <c r="L61" s="1">
        <v>37</v>
      </c>
      <c r="M61" s="1" t="s">
        <v>3362</v>
      </c>
      <c r="N61" s="1">
        <v>40</v>
      </c>
      <c r="O61" s="1">
        <v>1953.8</v>
      </c>
      <c r="P61" s="1">
        <v>0</v>
      </c>
      <c r="Q61" s="1">
        <v>0</v>
      </c>
      <c r="R61" s="1">
        <v>0</v>
      </c>
      <c r="S61" s="1">
        <v>0</v>
      </c>
      <c r="T61" s="1">
        <v>0</v>
      </c>
      <c r="U61" s="1">
        <v>0</v>
      </c>
      <c r="V61" s="1" t="s">
        <v>3329</v>
      </c>
      <c r="W61" s="1">
        <v>0</v>
      </c>
      <c r="X61" s="1">
        <v>1</v>
      </c>
      <c r="Y61" s="1">
        <v>0</v>
      </c>
      <c r="Z61" s="1">
        <v>0</v>
      </c>
      <c r="AA61" s="1">
        <v>1</v>
      </c>
      <c r="AB61" s="1">
        <v>0</v>
      </c>
      <c r="AC61" s="1">
        <v>0</v>
      </c>
      <c r="AD61" s="1">
        <v>0</v>
      </c>
      <c r="AE61" s="1">
        <v>0</v>
      </c>
      <c r="AF61" s="1">
        <v>0</v>
      </c>
      <c r="AG61" s="1">
        <v>0</v>
      </c>
      <c r="AH61" s="1">
        <v>0</v>
      </c>
      <c r="AI61" s="1">
        <v>0</v>
      </c>
      <c r="AJ61" s="1">
        <v>0</v>
      </c>
      <c r="AK61" s="1">
        <v>0</v>
      </c>
      <c r="AL61" s="1">
        <v>0</v>
      </c>
      <c r="AM61" s="1">
        <v>0</v>
      </c>
      <c r="AN61" s="1">
        <v>0</v>
      </c>
      <c r="AO61" s="1">
        <v>1</v>
      </c>
      <c r="AP61" s="1">
        <v>0</v>
      </c>
      <c r="AQ61" s="1">
        <v>3</v>
      </c>
      <c r="AR61" s="1">
        <v>0</v>
      </c>
      <c r="AS61" s="1">
        <v>0</v>
      </c>
      <c r="AT61" s="1">
        <v>0</v>
      </c>
      <c r="AU61" s="1">
        <v>0</v>
      </c>
      <c r="AV61" s="1">
        <v>0</v>
      </c>
      <c r="AW61" s="1">
        <v>1</v>
      </c>
      <c r="AX61" s="1">
        <v>0</v>
      </c>
      <c r="AY61" s="1">
        <v>0</v>
      </c>
      <c r="AZ61" s="1">
        <v>0</v>
      </c>
      <c r="BA61" s="1">
        <v>0</v>
      </c>
      <c r="BB61" s="1">
        <v>0</v>
      </c>
      <c r="BC61" s="1">
        <v>0</v>
      </c>
      <c r="BD61" s="1">
        <v>0</v>
      </c>
      <c r="BE61" s="1">
        <v>3</v>
      </c>
      <c r="BF61" s="1">
        <v>0</v>
      </c>
      <c r="BG61" s="1">
        <v>0</v>
      </c>
      <c r="BH61" s="1">
        <v>1</v>
      </c>
      <c r="BI61" s="1">
        <v>0</v>
      </c>
      <c r="BJ61" s="1">
        <v>0</v>
      </c>
      <c r="BK61" s="1">
        <v>2</v>
      </c>
      <c r="BL61" s="1">
        <v>4</v>
      </c>
      <c r="BM61" s="1">
        <v>0</v>
      </c>
      <c r="BN61" s="1">
        <v>0</v>
      </c>
      <c r="BO61" s="1">
        <v>0</v>
      </c>
    </row>
    <row r="62" hidden="1" spans="1:67">
      <c r="A62" s="18">
        <v>43707</v>
      </c>
      <c r="B62" s="18">
        <v>43717</v>
      </c>
      <c r="C62" s="18">
        <v>43744</v>
      </c>
      <c r="D62" s="18">
        <f ca="1" t="shared" ref="D62:I62" si="56">C62</f>
        <v>43744</v>
      </c>
      <c r="E62" s="18">
        <v>43752</v>
      </c>
      <c r="F62" s="18">
        <f ca="1" t="shared" si="56"/>
        <v>43752</v>
      </c>
      <c r="G62" s="18">
        <v>43744</v>
      </c>
      <c r="H62" s="18">
        <v>43757</v>
      </c>
      <c r="I62" s="18">
        <f ca="1" t="shared" si="56"/>
        <v>43757</v>
      </c>
      <c r="J62" s="18">
        <f ca="1" t="shared" si="1"/>
        <v>43757</v>
      </c>
      <c r="L62" s="1">
        <v>37.1</v>
      </c>
      <c r="M62" s="1">
        <v>116</v>
      </c>
      <c r="N62" s="1">
        <v>34.6</v>
      </c>
      <c r="O62" s="1">
        <v>1990.9</v>
      </c>
      <c r="P62" s="1">
        <v>0</v>
      </c>
      <c r="Q62" s="1">
        <v>0</v>
      </c>
      <c r="R62" s="1">
        <v>0</v>
      </c>
      <c r="S62" s="1">
        <v>0</v>
      </c>
      <c r="T62" s="1">
        <v>5</v>
      </c>
      <c r="U62" s="1" t="s">
        <v>3329</v>
      </c>
      <c r="V62" s="1" t="s">
        <v>3329</v>
      </c>
      <c r="W62" s="1">
        <v>1</v>
      </c>
      <c r="X62" s="1">
        <v>0</v>
      </c>
      <c r="Y62" s="1">
        <v>1</v>
      </c>
      <c r="Z62" s="1">
        <v>0</v>
      </c>
      <c r="AA62" s="1">
        <v>0</v>
      </c>
      <c r="AB62" s="1">
        <v>0</v>
      </c>
      <c r="AC62" s="1">
        <v>1</v>
      </c>
      <c r="AD62" s="1">
        <v>0</v>
      </c>
      <c r="AE62" s="1">
        <v>0</v>
      </c>
      <c r="AF62" s="1">
        <v>0</v>
      </c>
      <c r="AG62" s="1">
        <v>0</v>
      </c>
      <c r="AH62" s="1">
        <v>0</v>
      </c>
      <c r="AI62" s="1">
        <v>0</v>
      </c>
      <c r="AJ62" s="1">
        <v>0</v>
      </c>
      <c r="AK62" s="1">
        <v>0</v>
      </c>
      <c r="AL62" s="1">
        <v>1</v>
      </c>
      <c r="AM62" s="1">
        <v>0</v>
      </c>
      <c r="AN62" s="1">
        <v>0</v>
      </c>
      <c r="AO62" s="1">
        <v>1</v>
      </c>
      <c r="AP62" s="1">
        <v>0</v>
      </c>
      <c r="AQ62" s="1">
        <v>3</v>
      </c>
      <c r="AR62" s="1">
        <v>0</v>
      </c>
      <c r="AS62" s="1">
        <v>0</v>
      </c>
      <c r="AT62" s="1">
        <v>0</v>
      </c>
      <c r="AU62" s="1">
        <v>0</v>
      </c>
      <c r="AV62" s="1">
        <v>0</v>
      </c>
      <c r="AW62" s="1">
        <v>1</v>
      </c>
      <c r="AX62" s="1">
        <v>1</v>
      </c>
      <c r="AY62" s="1">
        <v>1</v>
      </c>
      <c r="AZ62" s="1">
        <v>0</v>
      </c>
      <c r="BA62" s="1">
        <v>0</v>
      </c>
      <c r="BB62" s="1">
        <v>2</v>
      </c>
      <c r="BC62" s="1">
        <v>0</v>
      </c>
      <c r="BD62" s="1">
        <v>0</v>
      </c>
      <c r="BE62" s="1">
        <v>3</v>
      </c>
      <c r="BF62" s="1">
        <v>0</v>
      </c>
      <c r="BG62" s="1">
        <v>0</v>
      </c>
      <c r="BH62" s="1">
        <v>0</v>
      </c>
      <c r="BI62" s="1">
        <v>0</v>
      </c>
      <c r="BJ62" s="1">
        <v>0</v>
      </c>
      <c r="BK62" s="1">
        <v>0</v>
      </c>
      <c r="BL62" s="1">
        <v>0</v>
      </c>
      <c r="BM62" s="1">
        <v>0</v>
      </c>
      <c r="BN62" s="1" t="s">
        <v>3341</v>
      </c>
      <c r="BO62" s="1">
        <v>0</v>
      </c>
    </row>
    <row r="63" hidden="1" spans="1:67">
      <c r="A63" s="18">
        <v>43707</v>
      </c>
      <c r="B63" s="18">
        <v>43717</v>
      </c>
      <c r="C63" s="18">
        <v>43744</v>
      </c>
      <c r="D63" s="18">
        <f ca="1" t="shared" ref="D63:I63" si="57">C63</f>
        <v>43744</v>
      </c>
      <c r="E63" s="18">
        <v>43752</v>
      </c>
      <c r="F63" s="18">
        <f ca="1" t="shared" si="57"/>
        <v>43752</v>
      </c>
      <c r="G63" s="18">
        <v>43744</v>
      </c>
      <c r="H63" s="18">
        <v>43757</v>
      </c>
      <c r="I63" s="18">
        <f ca="1" t="shared" si="57"/>
        <v>43757</v>
      </c>
      <c r="J63" s="18">
        <f ca="1" t="shared" si="1"/>
        <v>43757</v>
      </c>
      <c r="L63" s="1">
        <v>34</v>
      </c>
      <c r="M63" s="1" t="s">
        <v>3363</v>
      </c>
      <c r="N63" s="1">
        <v>41.2</v>
      </c>
      <c r="O63" s="1">
        <v>2024.9</v>
      </c>
      <c r="P63" s="1">
        <v>0</v>
      </c>
      <c r="Q63" s="1">
        <v>0</v>
      </c>
      <c r="R63" s="1">
        <v>0</v>
      </c>
      <c r="S63" s="1">
        <v>0</v>
      </c>
      <c r="T63" s="1">
        <v>0</v>
      </c>
      <c r="U63" s="1">
        <v>0</v>
      </c>
      <c r="V63" s="1" t="s">
        <v>3329</v>
      </c>
      <c r="W63" s="1">
        <v>0</v>
      </c>
      <c r="X63" s="1">
        <v>1</v>
      </c>
      <c r="Y63" s="1">
        <v>0</v>
      </c>
      <c r="Z63" s="1">
        <v>1</v>
      </c>
      <c r="AA63" s="1">
        <v>0</v>
      </c>
      <c r="AB63" s="1">
        <v>0</v>
      </c>
      <c r="AC63" s="1">
        <v>0</v>
      </c>
      <c r="AD63" s="1">
        <v>0</v>
      </c>
      <c r="AE63" s="1">
        <v>0</v>
      </c>
      <c r="AF63" s="1">
        <v>0</v>
      </c>
      <c r="AG63" s="1">
        <v>0</v>
      </c>
      <c r="AH63" s="1">
        <v>0</v>
      </c>
      <c r="AI63" s="1">
        <v>0</v>
      </c>
      <c r="AJ63" s="1">
        <v>0</v>
      </c>
      <c r="AK63" s="1">
        <v>0</v>
      </c>
      <c r="AL63" s="1">
        <v>0</v>
      </c>
      <c r="AM63" s="1">
        <v>0</v>
      </c>
      <c r="AN63" s="1">
        <v>0</v>
      </c>
      <c r="AO63" s="1">
        <v>1</v>
      </c>
      <c r="AP63" s="1">
        <v>0</v>
      </c>
      <c r="AQ63" s="1">
        <v>3</v>
      </c>
      <c r="AR63" s="1">
        <v>0</v>
      </c>
      <c r="AS63" s="1">
        <v>0</v>
      </c>
      <c r="AT63" s="1">
        <v>0</v>
      </c>
      <c r="AU63" s="1">
        <v>0</v>
      </c>
      <c r="AV63" s="1">
        <v>0</v>
      </c>
      <c r="AW63" s="1">
        <v>1</v>
      </c>
      <c r="AX63" s="1">
        <v>0</v>
      </c>
      <c r="AY63" s="1">
        <v>0</v>
      </c>
      <c r="AZ63" s="1">
        <v>0</v>
      </c>
      <c r="BA63" s="1">
        <v>0</v>
      </c>
      <c r="BB63" s="1">
        <v>0</v>
      </c>
      <c r="BC63" s="1">
        <v>0</v>
      </c>
      <c r="BD63" s="1">
        <v>0</v>
      </c>
      <c r="BE63" s="1">
        <v>3</v>
      </c>
      <c r="BF63" s="1">
        <v>0</v>
      </c>
      <c r="BG63" s="1">
        <v>0</v>
      </c>
      <c r="BH63" s="1">
        <v>1</v>
      </c>
      <c r="BI63" s="1">
        <v>0</v>
      </c>
      <c r="BJ63" s="1">
        <v>0</v>
      </c>
      <c r="BK63" s="1">
        <v>2</v>
      </c>
      <c r="BL63" s="1">
        <v>4</v>
      </c>
      <c r="BM63" s="1">
        <v>0</v>
      </c>
      <c r="BN63" s="1">
        <v>0</v>
      </c>
      <c r="BO63" s="1">
        <v>0</v>
      </c>
    </row>
    <row r="64" hidden="1" spans="1:67">
      <c r="A64" s="18">
        <v>43707</v>
      </c>
      <c r="B64" s="18">
        <v>43717</v>
      </c>
      <c r="C64" s="18">
        <v>43744</v>
      </c>
      <c r="D64" s="18">
        <f ca="1" t="shared" ref="D64:I64" si="58">C64</f>
        <v>43744</v>
      </c>
      <c r="E64" s="18">
        <v>43752</v>
      </c>
      <c r="F64" s="18">
        <f ca="1" t="shared" si="58"/>
        <v>43752</v>
      </c>
      <c r="G64" s="18">
        <v>43757</v>
      </c>
      <c r="H64" s="18">
        <v>43757</v>
      </c>
      <c r="I64" s="18">
        <f ca="1" t="shared" si="58"/>
        <v>43757</v>
      </c>
      <c r="J64" s="18">
        <f ca="1" t="shared" si="1"/>
        <v>43757</v>
      </c>
      <c r="L64" s="1">
        <v>33.7</v>
      </c>
      <c r="M64" s="1">
        <v>117</v>
      </c>
      <c r="N64" s="1">
        <v>29.4</v>
      </c>
      <c r="O64" s="1">
        <v>2058.6</v>
      </c>
      <c r="P64" s="1">
        <v>0</v>
      </c>
      <c r="Q64" s="1">
        <v>0</v>
      </c>
      <c r="R64" s="1">
        <v>0</v>
      </c>
      <c r="S64" s="1">
        <v>0</v>
      </c>
      <c r="T64" s="1">
        <v>0</v>
      </c>
      <c r="U64" s="1" t="s">
        <v>3329</v>
      </c>
      <c r="V64" s="1" t="s">
        <v>3329</v>
      </c>
      <c r="W64" s="1">
        <v>1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0</v>
      </c>
      <c r="AD64" s="1">
        <v>0</v>
      </c>
      <c r="AE64" s="1">
        <v>0</v>
      </c>
      <c r="AF64" s="1">
        <v>0</v>
      </c>
      <c r="AG64" s="1">
        <v>0</v>
      </c>
      <c r="AH64" s="1">
        <v>0</v>
      </c>
      <c r="AI64" s="1">
        <v>0</v>
      </c>
      <c r="AJ64" s="1">
        <v>0</v>
      </c>
      <c r="AK64" s="1">
        <v>0</v>
      </c>
      <c r="AL64" s="1">
        <v>0</v>
      </c>
      <c r="AM64" s="1">
        <v>0</v>
      </c>
      <c r="AN64" s="1">
        <v>0</v>
      </c>
      <c r="AO64" s="1">
        <v>1</v>
      </c>
      <c r="AP64" s="1">
        <v>0</v>
      </c>
      <c r="AQ64" s="1">
        <v>3</v>
      </c>
      <c r="AR64" s="1">
        <v>0</v>
      </c>
      <c r="AS64" s="1">
        <v>0</v>
      </c>
      <c r="AT64" s="1">
        <v>0</v>
      </c>
      <c r="AU64" s="1">
        <v>0</v>
      </c>
      <c r="AV64" s="1">
        <v>0</v>
      </c>
      <c r="AW64" s="1">
        <v>1</v>
      </c>
      <c r="AX64" s="1">
        <v>3</v>
      </c>
      <c r="AY64" s="1">
        <v>0</v>
      </c>
      <c r="AZ64" s="1">
        <v>0</v>
      </c>
      <c r="BA64" s="1">
        <v>0</v>
      </c>
      <c r="BB64" s="1">
        <v>0</v>
      </c>
      <c r="BC64" s="1">
        <v>0</v>
      </c>
      <c r="BD64" s="1">
        <v>0</v>
      </c>
      <c r="BE64" s="1">
        <v>3</v>
      </c>
      <c r="BF64" s="1">
        <v>0</v>
      </c>
      <c r="BG64" s="1">
        <v>0</v>
      </c>
      <c r="BH64" s="1">
        <v>0</v>
      </c>
      <c r="BI64" s="1">
        <v>0</v>
      </c>
      <c r="BJ64" s="1">
        <v>0</v>
      </c>
      <c r="BK64" s="1">
        <v>0</v>
      </c>
      <c r="BL64" s="1">
        <v>0</v>
      </c>
      <c r="BM64" s="1">
        <v>0</v>
      </c>
      <c r="BN64" s="1">
        <v>0</v>
      </c>
      <c r="BO64" s="1">
        <v>0</v>
      </c>
    </row>
    <row r="65" hidden="1" spans="1:67">
      <c r="A65" s="18">
        <v>43707</v>
      </c>
      <c r="B65" s="18">
        <v>43717</v>
      </c>
      <c r="C65" s="18">
        <v>43744</v>
      </c>
      <c r="D65" s="18">
        <f ca="1" t="shared" ref="D65:I65" si="59">C65</f>
        <v>43744</v>
      </c>
      <c r="E65" s="18">
        <v>43752</v>
      </c>
      <c r="F65" s="18">
        <f ca="1" t="shared" si="59"/>
        <v>43752</v>
      </c>
      <c r="G65" s="18">
        <v>43744</v>
      </c>
      <c r="H65" s="18">
        <v>43757</v>
      </c>
      <c r="I65" s="18">
        <f ca="1" t="shared" si="59"/>
        <v>43757</v>
      </c>
      <c r="J65" s="18">
        <f ca="1" t="shared" si="1"/>
        <v>43757</v>
      </c>
      <c r="L65" s="1">
        <v>40</v>
      </c>
      <c r="M65" s="1" t="s">
        <v>3364</v>
      </c>
      <c r="N65" s="1">
        <v>39.2</v>
      </c>
      <c r="O65" s="1">
        <v>2098.6</v>
      </c>
      <c r="P65" s="1">
        <v>0</v>
      </c>
      <c r="Q65" s="1">
        <v>0</v>
      </c>
      <c r="R65" s="1">
        <v>0</v>
      </c>
      <c r="S65" s="1">
        <v>0</v>
      </c>
      <c r="T65" s="1">
        <v>0</v>
      </c>
      <c r="U65" s="1">
        <v>0</v>
      </c>
      <c r="V65" s="1" t="s">
        <v>3329</v>
      </c>
      <c r="W65" s="1">
        <v>0</v>
      </c>
      <c r="X65" s="1">
        <v>1</v>
      </c>
      <c r="Y65" s="1">
        <v>0</v>
      </c>
      <c r="Z65" s="1">
        <v>1</v>
      </c>
      <c r="AA65" s="1">
        <v>0</v>
      </c>
      <c r="AB65" s="1">
        <v>0</v>
      </c>
      <c r="AC65" s="1">
        <v>0</v>
      </c>
      <c r="AD65" s="1">
        <v>0</v>
      </c>
      <c r="AE65" s="1">
        <v>0</v>
      </c>
      <c r="AF65" s="1">
        <v>0</v>
      </c>
      <c r="AG65" s="1">
        <v>0</v>
      </c>
      <c r="AH65" s="1">
        <v>0</v>
      </c>
      <c r="AI65" s="1">
        <v>0</v>
      </c>
      <c r="AJ65" s="1">
        <v>0</v>
      </c>
      <c r="AK65" s="1">
        <v>0</v>
      </c>
      <c r="AL65" s="1">
        <v>0</v>
      </c>
      <c r="AM65" s="1">
        <v>0</v>
      </c>
      <c r="AN65" s="1">
        <v>0</v>
      </c>
      <c r="AO65" s="1">
        <v>1</v>
      </c>
      <c r="AP65" s="1">
        <v>0</v>
      </c>
      <c r="AQ65" s="1">
        <v>3</v>
      </c>
      <c r="AR65" s="1">
        <v>0</v>
      </c>
      <c r="AS65" s="1">
        <v>0</v>
      </c>
      <c r="AT65" s="1">
        <v>0</v>
      </c>
      <c r="AU65" s="1">
        <v>0</v>
      </c>
      <c r="AV65" s="1">
        <v>0</v>
      </c>
      <c r="AW65" s="1">
        <v>1</v>
      </c>
      <c r="AX65" s="1">
        <v>0</v>
      </c>
      <c r="AY65" s="1">
        <v>0</v>
      </c>
      <c r="AZ65" s="1">
        <v>0</v>
      </c>
      <c r="BA65" s="1">
        <v>0</v>
      </c>
      <c r="BB65" s="1">
        <v>0</v>
      </c>
      <c r="BC65" s="1">
        <v>0</v>
      </c>
      <c r="BD65" s="1">
        <v>0</v>
      </c>
      <c r="BE65" s="1">
        <v>3</v>
      </c>
      <c r="BF65" s="1">
        <v>0</v>
      </c>
      <c r="BG65" s="1">
        <v>0</v>
      </c>
      <c r="BH65" s="1">
        <v>1</v>
      </c>
      <c r="BI65" s="1">
        <v>0</v>
      </c>
      <c r="BJ65" s="1">
        <v>0</v>
      </c>
      <c r="BK65" s="1">
        <v>2</v>
      </c>
      <c r="BL65" s="1">
        <v>4</v>
      </c>
      <c r="BM65" s="1">
        <v>1.2</v>
      </c>
      <c r="BN65" s="1">
        <v>0</v>
      </c>
      <c r="BO65" s="1">
        <v>0</v>
      </c>
    </row>
    <row r="66" hidden="1" spans="1:67">
      <c r="A66" s="18">
        <v>43707</v>
      </c>
      <c r="B66" s="18">
        <v>43717</v>
      </c>
      <c r="C66" s="18">
        <v>43744</v>
      </c>
      <c r="D66" s="18">
        <f ca="1" t="shared" ref="D66:I66" si="60">C66</f>
        <v>43744</v>
      </c>
      <c r="E66" s="18">
        <v>43752</v>
      </c>
      <c r="F66" s="18">
        <f ca="1" t="shared" si="60"/>
        <v>43752</v>
      </c>
      <c r="G66" s="18">
        <v>43757</v>
      </c>
      <c r="H66" s="18">
        <v>43757</v>
      </c>
      <c r="I66" s="18">
        <f ca="1" t="shared" si="60"/>
        <v>43757</v>
      </c>
      <c r="J66" s="18">
        <f ca="1" t="shared" si="1"/>
        <v>43757</v>
      </c>
      <c r="L66" s="1">
        <v>44.5</v>
      </c>
      <c r="M66" s="1">
        <v>118</v>
      </c>
      <c r="N66" s="1">
        <v>40.1</v>
      </c>
      <c r="O66" s="1">
        <v>2143.1</v>
      </c>
      <c r="P66" s="1">
        <v>0</v>
      </c>
      <c r="Q66" s="1">
        <v>0</v>
      </c>
      <c r="R66" s="1">
        <v>0</v>
      </c>
      <c r="S66" s="1">
        <v>0</v>
      </c>
      <c r="T66" s="1">
        <v>0</v>
      </c>
      <c r="U66" s="1" t="s">
        <v>3329</v>
      </c>
      <c r="V66" s="1" t="s">
        <v>3329</v>
      </c>
      <c r="W66" s="1">
        <v>1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0</v>
      </c>
      <c r="AD66" s="1">
        <v>0</v>
      </c>
      <c r="AE66" s="1">
        <v>0</v>
      </c>
      <c r="AF66" s="1">
        <v>0</v>
      </c>
      <c r="AG66" s="1">
        <v>0</v>
      </c>
      <c r="AH66" s="1">
        <v>0</v>
      </c>
      <c r="AI66" s="1">
        <v>0</v>
      </c>
      <c r="AJ66" s="1">
        <v>0</v>
      </c>
      <c r="AK66" s="1">
        <v>0</v>
      </c>
      <c r="AL66" s="1">
        <v>0</v>
      </c>
      <c r="AM66" s="1">
        <v>0</v>
      </c>
      <c r="AN66" s="1">
        <v>0</v>
      </c>
      <c r="AO66" s="1">
        <v>1</v>
      </c>
      <c r="AP66" s="1">
        <v>0</v>
      </c>
      <c r="AQ66" s="1">
        <v>3</v>
      </c>
      <c r="AR66" s="1">
        <v>0</v>
      </c>
      <c r="AS66" s="1">
        <v>0</v>
      </c>
      <c r="AT66" s="1">
        <v>0</v>
      </c>
      <c r="AU66" s="1">
        <v>0</v>
      </c>
      <c r="AV66" s="1">
        <v>0</v>
      </c>
      <c r="AW66" s="1">
        <v>1</v>
      </c>
      <c r="AX66" s="1">
        <v>0</v>
      </c>
      <c r="AY66" s="1">
        <v>0</v>
      </c>
      <c r="AZ66" s="1">
        <v>0</v>
      </c>
      <c r="BA66" s="1">
        <v>0</v>
      </c>
      <c r="BB66" s="1">
        <v>0</v>
      </c>
      <c r="BC66" s="1">
        <v>0</v>
      </c>
      <c r="BD66" s="1">
        <v>0</v>
      </c>
      <c r="BE66" s="1">
        <v>3</v>
      </c>
      <c r="BF66" s="1">
        <v>0</v>
      </c>
      <c r="BG66" s="1">
        <v>0</v>
      </c>
      <c r="BH66" s="1">
        <v>0</v>
      </c>
      <c r="BI66" s="1">
        <v>0</v>
      </c>
      <c r="BJ66" s="1">
        <v>0</v>
      </c>
      <c r="BK66" s="1">
        <v>0</v>
      </c>
      <c r="BL66" s="1">
        <v>0</v>
      </c>
      <c r="BM66" s="1">
        <v>0</v>
      </c>
      <c r="BN66" s="1">
        <v>0</v>
      </c>
      <c r="BO66" s="1">
        <v>0</v>
      </c>
    </row>
    <row r="67" hidden="1" spans="1:67">
      <c r="A67" s="18">
        <v>43707</v>
      </c>
      <c r="B67" s="18">
        <v>43717</v>
      </c>
      <c r="C67" s="18">
        <v>43744</v>
      </c>
      <c r="D67" s="18">
        <f ca="1" t="shared" ref="D67:I67" si="61">C67</f>
        <v>43744</v>
      </c>
      <c r="E67" s="18">
        <v>43752</v>
      </c>
      <c r="F67" s="18">
        <f ca="1" t="shared" si="61"/>
        <v>43752</v>
      </c>
      <c r="G67" s="18">
        <v>43744</v>
      </c>
      <c r="H67" s="18">
        <v>43757</v>
      </c>
      <c r="I67" s="18">
        <f ca="1" t="shared" si="61"/>
        <v>43757</v>
      </c>
      <c r="J67" s="18">
        <f ca="1" t="shared" si="1"/>
        <v>43757</v>
      </c>
      <c r="L67" s="1">
        <v>33.3</v>
      </c>
      <c r="M67" s="1" t="s">
        <v>3365</v>
      </c>
      <c r="N67" s="1">
        <v>38</v>
      </c>
      <c r="O67" s="1">
        <v>2176.4</v>
      </c>
      <c r="P67" s="1">
        <v>0</v>
      </c>
      <c r="Q67" s="1">
        <v>0</v>
      </c>
      <c r="R67" s="1">
        <v>0</v>
      </c>
      <c r="S67" s="1">
        <v>0</v>
      </c>
      <c r="T67" s="1">
        <v>0</v>
      </c>
      <c r="U67" s="1">
        <v>0</v>
      </c>
      <c r="V67" s="1" t="s">
        <v>3329</v>
      </c>
      <c r="W67" s="1">
        <v>0</v>
      </c>
      <c r="X67" s="1">
        <v>1</v>
      </c>
      <c r="Y67" s="1">
        <v>0</v>
      </c>
      <c r="Z67" s="1">
        <v>0</v>
      </c>
      <c r="AA67" s="1">
        <v>1</v>
      </c>
      <c r="AB67" s="1">
        <v>0</v>
      </c>
      <c r="AC67" s="1">
        <v>0</v>
      </c>
      <c r="AD67" s="1">
        <v>0</v>
      </c>
      <c r="AE67" s="1">
        <v>0</v>
      </c>
      <c r="AF67" s="1">
        <v>0</v>
      </c>
      <c r="AG67" s="1">
        <v>0</v>
      </c>
      <c r="AH67" s="1">
        <v>0</v>
      </c>
      <c r="AI67" s="1">
        <v>0</v>
      </c>
      <c r="AJ67" s="1">
        <v>1</v>
      </c>
      <c r="AK67" s="1">
        <v>0</v>
      </c>
      <c r="AL67" s="1">
        <v>0</v>
      </c>
      <c r="AM67" s="1">
        <v>0</v>
      </c>
      <c r="AN67" s="1">
        <v>0</v>
      </c>
      <c r="AO67" s="1">
        <v>1</v>
      </c>
      <c r="AP67" s="1">
        <v>0</v>
      </c>
      <c r="AQ67" s="1">
        <v>3</v>
      </c>
      <c r="AR67" s="1">
        <v>0</v>
      </c>
      <c r="AS67" s="1">
        <v>0</v>
      </c>
      <c r="AT67" s="1">
        <v>0</v>
      </c>
      <c r="AU67" s="1">
        <v>0</v>
      </c>
      <c r="AV67" s="1">
        <v>0</v>
      </c>
      <c r="AW67" s="1">
        <v>1</v>
      </c>
      <c r="AX67" s="1">
        <v>0</v>
      </c>
      <c r="AY67" s="1">
        <v>0</v>
      </c>
      <c r="AZ67" s="1">
        <v>0</v>
      </c>
      <c r="BA67" s="1">
        <v>0</v>
      </c>
      <c r="BB67" s="1">
        <v>0</v>
      </c>
      <c r="BC67" s="1">
        <v>0</v>
      </c>
      <c r="BD67" s="1">
        <v>0</v>
      </c>
      <c r="BE67" s="1">
        <v>3</v>
      </c>
      <c r="BF67" s="1">
        <v>0</v>
      </c>
      <c r="BG67" s="1">
        <v>0</v>
      </c>
      <c r="BH67" s="1">
        <v>2</v>
      </c>
      <c r="BI67" s="1">
        <v>0</v>
      </c>
      <c r="BJ67" s="1">
        <v>0</v>
      </c>
      <c r="BK67" s="1">
        <v>4</v>
      </c>
      <c r="BL67" s="1">
        <v>4</v>
      </c>
      <c r="BM67" s="1">
        <v>0</v>
      </c>
      <c r="BN67" s="1">
        <v>0</v>
      </c>
      <c r="BO67" s="1">
        <v>0</v>
      </c>
    </row>
    <row r="68" hidden="1" spans="1:67">
      <c r="A68" s="18">
        <v>43711</v>
      </c>
      <c r="B68" s="18">
        <v>43717</v>
      </c>
      <c r="C68" s="18">
        <v>43744</v>
      </c>
      <c r="D68" s="18">
        <f ca="1" t="shared" ref="D68:I68" si="62">C68</f>
        <v>43744</v>
      </c>
      <c r="E68" s="18">
        <v>43752</v>
      </c>
      <c r="F68" s="18">
        <f ca="1" t="shared" si="62"/>
        <v>43752</v>
      </c>
      <c r="G68" s="18">
        <v>43757</v>
      </c>
      <c r="H68" s="18">
        <v>43757</v>
      </c>
      <c r="I68" s="18">
        <f ca="1" t="shared" si="62"/>
        <v>43757</v>
      </c>
      <c r="J68" s="18">
        <f ca="1" t="shared" si="1"/>
        <v>43757</v>
      </c>
      <c r="L68" s="1">
        <v>33</v>
      </c>
      <c r="M68" s="1">
        <v>119</v>
      </c>
      <c r="N68" s="1">
        <v>32.3</v>
      </c>
      <c r="O68" s="1">
        <v>2209.4</v>
      </c>
      <c r="P68" s="1">
        <v>0</v>
      </c>
      <c r="Q68" s="1">
        <v>0</v>
      </c>
      <c r="R68" s="1">
        <v>0</v>
      </c>
      <c r="S68" s="1">
        <v>0</v>
      </c>
      <c r="T68" s="1">
        <v>0</v>
      </c>
      <c r="U68" s="1" t="s">
        <v>3329</v>
      </c>
      <c r="V68" s="1" t="s">
        <v>3329</v>
      </c>
      <c r="W68" s="1">
        <v>1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0</v>
      </c>
      <c r="AD68" s="1">
        <v>0</v>
      </c>
      <c r="AE68" s="1">
        <v>0</v>
      </c>
      <c r="AF68" s="1">
        <v>0</v>
      </c>
      <c r="AG68" s="1">
        <v>0</v>
      </c>
      <c r="AH68" s="1">
        <v>0</v>
      </c>
      <c r="AI68" s="1">
        <v>0</v>
      </c>
      <c r="AJ68" s="1">
        <v>0</v>
      </c>
      <c r="AK68" s="1">
        <v>0</v>
      </c>
      <c r="AL68" s="1">
        <v>0</v>
      </c>
      <c r="AM68" s="1">
        <v>0</v>
      </c>
      <c r="AN68" s="1">
        <v>0</v>
      </c>
      <c r="AO68" s="1">
        <v>1</v>
      </c>
      <c r="AP68" s="1">
        <v>0</v>
      </c>
      <c r="AQ68" s="1">
        <v>3</v>
      </c>
      <c r="AR68" s="1">
        <v>0</v>
      </c>
      <c r="AS68" s="1">
        <v>0</v>
      </c>
      <c r="AT68" s="1">
        <v>0</v>
      </c>
      <c r="AU68" s="1">
        <v>0</v>
      </c>
      <c r="AV68" s="1">
        <v>0</v>
      </c>
      <c r="AW68" s="1">
        <v>1</v>
      </c>
      <c r="AX68" s="1">
        <v>0</v>
      </c>
      <c r="AY68" s="1">
        <v>0</v>
      </c>
      <c r="AZ68" s="1">
        <v>0</v>
      </c>
      <c r="BA68" s="1">
        <v>0</v>
      </c>
      <c r="BB68" s="1">
        <v>0</v>
      </c>
      <c r="BC68" s="1">
        <v>0</v>
      </c>
      <c r="BD68" s="1">
        <v>0</v>
      </c>
      <c r="BE68" s="1">
        <v>3</v>
      </c>
      <c r="BF68" s="1">
        <v>0</v>
      </c>
      <c r="BG68" s="1">
        <v>0</v>
      </c>
      <c r="BH68" s="1">
        <v>0</v>
      </c>
      <c r="BI68" s="1">
        <v>0</v>
      </c>
      <c r="BJ68" s="1">
        <v>0</v>
      </c>
      <c r="BK68" s="1">
        <v>0</v>
      </c>
      <c r="BL68" s="1">
        <v>0</v>
      </c>
      <c r="BM68" s="1">
        <v>0</v>
      </c>
      <c r="BN68" s="1">
        <v>0</v>
      </c>
      <c r="BO68" s="1">
        <v>0</v>
      </c>
    </row>
    <row r="69" hidden="1" spans="1:67">
      <c r="A69" s="18">
        <v>43711</v>
      </c>
      <c r="B69" s="18">
        <v>43717</v>
      </c>
      <c r="C69" s="18">
        <v>43744</v>
      </c>
      <c r="D69" s="18">
        <f ca="1" t="shared" ref="D69:I69" si="63">C69</f>
        <v>43744</v>
      </c>
      <c r="E69" s="18">
        <v>43752</v>
      </c>
      <c r="F69" s="18">
        <f ca="1" t="shared" si="63"/>
        <v>43752</v>
      </c>
      <c r="G69" s="18">
        <v>43744</v>
      </c>
      <c r="H69" s="18">
        <v>43757</v>
      </c>
      <c r="I69" s="18">
        <f ca="1" t="shared" si="63"/>
        <v>43757</v>
      </c>
      <c r="J69" s="18">
        <f ca="1" t="shared" si="1"/>
        <v>43757</v>
      </c>
      <c r="L69" s="1">
        <v>36</v>
      </c>
      <c r="M69" s="1" t="s">
        <v>3366</v>
      </c>
      <c r="N69" s="1">
        <v>37.2</v>
      </c>
      <c r="O69" s="1">
        <v>2245.4</v>
      </c>
      <c r="P69" s="1">
        <v>0</v>
      </c>
      <c r="Q69" s="1">
        <v>0</v>
      </c>
      <c r="R69" s="1">
        <v>0</v>
      </c>
      <c r="S69" s="1">
        <v>0</v>
      </c>
      <c r="T69" s="1">
        <v>0</v>
      </c>
      <c r="U69" s="1">
        <v>0</v>
      </c>
      <c r="V69" s="1" t="s">
        <v>3329</v>
      </c>
      <c r="W69" s="1">
        <v>0</v>
      </c>
      <c r="X69" s="1">
        <v>1</v>
      </c>
      <c r="Y69" s="1">
        <v>0</v>
      </c>
      <c r="Z69" s="1">
        <v>0</v>
      </c>
      <c r="AA69" s="1">
        <v>1</v>
      </c>
      <c r="AB69" s="1">
        <v>0</v>
      </c>
      <c r="AC69" s="1">
        <v>0</v>
      </c>
      <c r="AD69" s="1">
        <v>0</v>
      </c>
      <c r="AE69" s="1">
        <v>0</v>
      </c>
      <c r="AF69" s="1">
        <v>0</v>
      </c>
      <c r="AG69" s="1">
        <v>0</v>
      </c>
      <c r="AH69" s="1">
        <v>0</v>
      </c>
      <c r="AI69" s="1">
        <v>0</v>
      </c>
      <c r="AJ69" s="1">
        <v>0</v>
      </c>
      <c r="AK69" s="1">
        <v>0</v>
      </c>
      <c r="AL69" s="1">
        <v>0</v>
      </c>
      <c r="AM69" s="1">
        <v>0</v>
      </c>
      <c r="AN69" s="1">
        <v>0</v>
      </c>
      <c r="AO69" s="1">
        <v>1</v>
      </c>
      <c r="AP69" s="1">
        <v>0</v>
      </c>
      <c r="AQ69" s="1">
        <v>3</v>
      </c>
      <c r="AR69" s="1">
        <v>0</v>
      </c>
      <c r="AS69" s="1">
        <v>0</v>
      </c>
      <c r="AT69" s="1">
        <v>0</v>
      </c>
      <c r="AU69" s="1">
        <v>0</v>
      </c>
      <c r="AV69" s="1">
        <v>0</v>
      </c>
      <c r="AW69" s="1">
        <v>1</v>
      </c>
      <c r="AX69" s="1">
        <v>0</v>
      </c>
      <c r="AY69" s="1">
        <v>0</v>
      </c>
      <c r="AZ69" s="1">
        <v>0</v>
      </c>
      <c r="BA69" s="1">
        <v>0</v>
      </c>
      <c r="BB69" s="1">
        <v>0</v>
      </c>
      <c r="BC69" s="1">
        <v>0</v>
      </c>
      <c r="BD69" s="1">
        <v>0</v>
      </c>
      <c r="BE69" s="1">
        <v>3</v>
      </c>
      <c r="BF69" s="1">
        <v>0</v>
      </c>
      <c r="BG69" s="1">
        <v>0</v>
      </c>
      <c r="BH69" s="1">
        <v>1</v>
      </c>
      <c r="BI69" s="1">
        <v>0</v>
      </c>
      <c r="BJ69" s="1">
        <v>0</v>
      </c>
      <c r="BK69" s="1">
        <v>3</v>
      </c>
      <c r="BL69" s="1">
        <v>8</v>
      </c>
      <c r="BM69" s="1">
        <v>0</v>
      </c>
      <c r="BN69" s="1" t="s">
        <v>3340</v>
      </c>
      <c r="BO69" s="1">
        <v>0</v>
      </c>
    </row>
    <row r="70" hidden="1" spans="1:67">
      <c r="A70" s="18">
        <v>43711</v>
      </c>
      <c r="B70" s="18">
        <v>43717</v>
      </c>
      <c r="C70" s="18">
        <v>43744</v>
      </c>
      <c r="D70" s="18">
        <f ca="1" t="shared" ref="D70:I70" si="64">C70</f>
        <v>43744</v>
      </c>
      <c r="E70" s="18">
        <v>43752</v>
      </c>
      <c r="F70" s="18">
        <f ca="1" t="shared" si="64"/>
        <v>43752</v>
      </c>
      <c r="G70" s="18">
        <v>43757</v>
      </c>
      <c r="H70" s="18">
        <v>43757</v>
      </c>
      <c r="I70" s="18">
        <f ca="1" t="shared" si="64"/>
        <v>43757</v>
      </c>
      <c r="J70" s="18">
        <f ca="1" t="shared" si="1"/>
        <v>43757</v>
      </c>
      <c r="L70" s="1">
        <v>35.5</v>
      </c>
      <c r="M70" s="1">
        <v>120</v>
      </c>
      <c r="N70" s="1">
        <v>33.3</v>
      </c>
      <c r="O70" s="1">
        <v>2280.9</v>
      </c>
      <c r="P70" s="1">
        <v>0</v>
      </c>
      <c r="Q70" s="1">
        <v>0</v>
      </c>
      <c r="R70" s="1">
        <v>0</v>
      </c>
      <c r="S70" s="1">
        <v>0</v>
      </c>
      <c r="T70" s="1">
        <v>0</v>
      </c>
      <c r="U70" s="1" t="s">
        <v>3329</v>
      </c>
      <c r="V70" s="1" t="s">
        <v>3329</v>
      </c>
      <c r="W70" s="1">
        <v>1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0</v>
      </c>
      <c r="AD70" s="1">
        <v>0</v>
      </c>
      <c r="AE70" s="1">
        <v>0</v>
      </c>
      <c r="AF70" s="1">
        <v>0</v>
      </c>
      <c r="AG70" s="1">
        <v>0</v>
      </c>
      <c r="AH70" s="1">
        <v>0</v>
      </c>
      <c r="AI70" s="1">
        <v>0</v>
      </c>
      <c r="AJ70" s="1">
        <v>0</v>
      </c>
      <c r="AK70" s="1">
        <v>0</v>
      </c>
      <c r="AL70" s="1">
        <v>0</v>
      </c>
      <c r="AM70" s="1">
        <v>0</v>
      </c>
      <c r="AN70" s="1">
        <v>0</v>
      </c>
      <c r="AO70" s="1">
        <v>1</v>
      </c>
      <c r="AP70" s="1">
        <v>0</v>
      </c>
      <c r="AQ70" s="1">
        <v>3</v>
      </c>
      <c r="AR70" s="1">
        <v>0</v>
      </c>
      <c r="AS70" s="1">
        <v>0</v>
      </c>
      <c r="AT70" s="1">
        <v>0</v>
      </c>
      <c r="AU70" s="1">
        <v>0</v>
      </c>
      <c r="AV70" s="1">
        <v>0</v>
      </c>
      <c r="AW70" s="1">
        <v>1</v>
      </c>
      <c r="AX70" s="1">
        <v>0</v>
      </c>
      <c r="AY70" s="1">
        <v>0</v>
      </c>
      <c r="AZ70" s="1">
        <v>0</v>
      </c>
      <c r="BA70" s="1">
        <v>0</v>
      </c>
      <c r="BB70" s="1">
        <v>0</v>
      </c>
      <c r="BC70" s="1">
        <v>0</v>
      </c>
      <c r="BD70" s="1">
        <v>0</v>
      </c>
      <c r="BE70" s="1">
        <v>3</v>
      </c>
      <c r="BF70" s="1">
        <v>0</v>
      </c>
      <c r="BG70" s="1">
        <v>0</v>
      </c>
      <c r="BH70" s="1">
        <v>0</v>
      </c>
      <c r="BI70" s="1">
        <v>0</v>
      </c>
      <c r="BJ70" s="1">
        <v>0</v>
      </c>
      <c r="BK70" s="1">
        <v>0</v>
      </c>
      <c r="BL70" s="1">
        <v>0</v>
      </c>
      <c r="BM70" s="1">
        <v>0</v>
      </c>
      <c r="BN70" s="1">
        <v>0</v>
      </c>
      <c r="BO70" s="1">
        <v>0</v>
      </c>
    </row>
    <row r="71" hidden="1" spans="1:67">
      <c r="A71" s="18">
        <v>43711</v>
      </c>
      <c r="B71" s="18">
        <v>43717</v>
      </c>
      <c r="C71" s="18">
        <v>43744</v>
      </c>
      <c r="D71" s="18">
        <f ca="1" t="shared" ref="D71:I71" si="65">C71</f>
        <v>43744</v>
      </c>
      <c r="E71" s="18">
        <v>43752</v>
      </c>
      <c r="F71" s="18">
        <f ca="1" t="shared" si="65"/>
        <v>43752</v>
      </c>
      <c r="G71" s="18">
        <v>43744</v>
      </c>
      <c r="H71" s="18">
        <v>43757</v>
      </c>
      <c r="I71" s="18">
        <f ca="1" t="shared" si="65"/>
        <v>43757</v>
      </c>
      <c r="J71" s="18">
        <f ca="1" t="shared" ref="J71:J134" si="66">H71</f>
        <v>43757</v>
      </c>
      <c r="L71" s="1">
        <v>39</v>
      </c>
      <c r="M71" s="1" t="s">
        <v>3367</v>
      </c>
      <c r="N71" s="1">
        <v>39.3</v>
      </c>
      <c r="O71" s="1">
        <v>2319.9</v>
      </c>
      <c r="P71" s="1">
        <v>0</v>
      </c>
      <c r="Q71" s="1">
        <v>0</v>
      </c>
      <c r="R71" s="1">
        <v>0</v>
      </c>
      <c r="S71" s="1">
        <v>0</v>
      </c>
      <c r="T71" s="1">
        <v>0</v>
      </c>
      <c r="U71" s="1">
        <v>0</v>
      </c>
      <c r="V71" s="1" t="s">
        <v>3324</v>
      </c>
      <c r="W71" s="1">
        <v>0</v>
      </c>
      <c r="X71" s="1">
        <v>2</v>
      </c>
      <c r="Y71" s="1">
        <v>0</v>
      </c>
      <c r="Z71" s="1">
        <v>0</v>
      </c>
      <c r="AA71" s="1">
        <v>0</v>
      </c>
      <c r="AB71" s="1">
        <v>1</v>
      </c>
      <c r="AC71" s="1">
        <v>0</v>
      </c>
      <c r="AD71" s="1">
        <v>0</v>
      </c>
      <c r="AE71" s="1">
        <v>0</v>
      </c>
      <c r="AF71" s="1">
        <v>0</v>
      </c>
      <c r="AG71" s="1">
        <v>0</v>
      </c>
      <c r="AH71" s="1">
        <v>0</v>
      </c>
      <c r="AI71" s="1">
        <v>0</v>
      </c>
      <c r="AJ71" s="1">
        <v>0</v>
      </c>
      <c r="AK71" s="1">
        <v>0</v>
      </c>
      <c r="AL71" s="1">
        <v>0</v>
      </c>
      <c r="AM71" s="1">
        <v>0</v>
      </c>
      <c r="AN71" s="1">
        <v>1</v>
      </c>
      <c r="AO71" s="1">
        <v>0</v>
      </c>
      <c r="AP71" s="1">
        <v>0</v>
      </c>
      <c r="AQ71" s="1">
        <v>6</v>
      </c>
      <c r="AR71" s="1">
        <v>6</v>
      </c>
      <c r="AS71" s="1">
        <v>0</v>
      </c>
      <c r="AT71" s="1">
        <v>0</v>
      </c>
      <c r="AU71" s="1">
        <v>6</v>
      </c>
      <c r="AV71" s="1">
        <v>2</v>
      </c>
      <c r="AW71" s="1">
        <v>0</v>
      </c>
      <c r="AX71" s="1">
        <v>0</v>
      </c>
      <c r="AY71" s="1">
        <v>0</v>
      </c>
      <c r="AZ71" s="1">
        <v>0</v>
      </c>
      <c r="BA71" s="1">
        <v>0</v>
      </c>
      <c r="BB71" s="1">
        <v>2</v>
      </c>
      <c r="BC71" s="1">
        <v>6</v>
      </c>
      <c r="BD71" s="1">
        <v>0</v>
      </c>
      <c r="BE71" s="1">
        <v>6</v>
      </c>
      <c r="BF71" s="1">
        <v>0</v>
      </c>
      <c r="BG71" s="1">
        <v>0</v>
      </c>
      <c r="BH71" s="1">
        <v>1</v>
      </c>
      <c r="BI71" s="1">
        <v>0</v>
      </c>
      <c r="BJ71" s="1">
        <v>0</v>
      </c>
      <c r="BK71" s="1">
        <v>8</v>
      </c>
      <c r="BL71" s="1">
        <v>4</v>
      </c>
      <c r="BM71" s="1">
        <v>1.2</v>
      </c>
      <c r="BN71" s="1">
        <v>0</v>
      </c>
      <c r="BO71" s="1">
        <v>0</v>
      </c>
    </row>
    <row r="72" hidden="1" spans="1:67">
      <c r="A72" s="18">
        <v>43711</v>
      </c>
      <c r="B72" s="18">
        <v>43717</v>
      </c>
      <c r="C72" s="18">
        <v>43744</v>
      </c>
      <c r="D72" s="18">
        <f ca="1" t="shared" ref="D72:I72" si="67">C72</f>
        <v>43744</v>
      </c>
      <c r="E72" s="18">
        <v>43752</v>
      </c>
      <c r="F72" s="18">
        <f ca="1" t="shared" si="67"/>
        <v>43752</v>
      </c>
      <c r="G72" s="18">
        <v>43757</v>
      </c>
      <c r="H72" s="18">
        <v>43757</v>
      </c>
      <c r="I72" s="18">
        <f ca="1" t="shared" si="67"/>
        <v>43757</v>
      </c>
      <c r="J72" s="18">
        <f ca="1" t="shared" si="66"/>
        <v>43757</v>
      </c>
      <c r="L72" s="1">
        <v>39.3</v>
      </c>
      <c r="M72" s="1">
        <v>121</v>
      </c>
      <c r="N72" s="1">
        <v>35.7</v>
      </c>
      <c r="O72" s="1">
        <v>2359.2</v>
      </c>
      <c r="P72" s="1">
        <v>0</v>
      </c>
      <c r="Q72" s="1">
        <v>0</v>
      </c>
      <c r="R72" s="1">
        <v>0</v>
      </c>
      <c r="S72" s="1">
        <v>0</v>
      </c>
      <c r="T72" s="1">
        <v>0</v>
      </c>
      <c r="U72" s="1" t="s">
        <v>3329</v>
      </c>
      <c r="V72" s="1" t="s">
        <v>3329</v>
      </c>
      <c r="W72" s="1">
        <v>1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0</v>
      </c>
      <c r="AD72" s="1">
        <v>0</v>
      </c>
      <c r="AE72" s="1">
        <v>0</v>
      </c>
      <c r="AF72" s="1">
        <v>0</v>
      </c>
      <c r="AG72" s="1">
        <v>0</v>
      </c>
      <c r="AH72" s="1">
        <v>0</v>
      </c>
      <c r="AI72" s="1">
        <v>0</v>
      </c>
      <c r="AJ72" s="1">
        <v>0</v>
      </c>
      <c r="AK72" s="1">
        <v>1</v>
      </c>
      <c r="AL72" s="1">
        <v>0</v>
      </c>
      <c r="AM72" s="1">
        <v>0</v>
      </c>
      <c r="AN72" s="1">
        <v>0</v>
      </c>
      <c r="AO72" s="1">
        <v>1</v>
      </c>
      <c r="AP72" s="1">
        <v>0</v>
      </c>
      <c r="AQ72" s="1">
        <v>3</v>
      </c>
      <c r="AR72" s="1">
        <v>0</v>
      </c>
      <c r="AS72" s="1">
        <v>0</v>
      </c>
      <c r="AT72" s="1">
        <v>0</v>
      </c>
      <c r="AU72" s="1">
        <v>0</v>
      </c>
      <c r="AV72" s="1">
        <v>0</v>
      </c>
      <c r="AW72" s="1">
        <v>1</v>
      </c>
      <c r="AX72" s="1">
        <v>0</v>
      </c>
      <c r="AY72" s="1">
        <v>0</v>
      </c>
      <c r="AZ72" s="1">
        <v>0</v>
      </c>
      <c r="BA72" s="1">
        <v>0</v>
      </c>
      <c r="BB72" s="1">
        <v>0</v>
      </c>
      <c r="BC72" s="1">
        <v>0</v>
      </c>
      <c r="BD72" s="1">
        <v>0</v>
      </c>
      <c r="BE72" s="1">
        <v>3</v>
      </c>
      <c r="BF72" s="1">
        <v>0</v>
      </c>
      <c r="BG72" s="1">
        <v>0</v>
      </c>
      <c r="BH72" s="1">
        <v>0</v>
      </c>
      <c r="BI72" s="1">
        <v>0</v>
      </c>
      <c r="BJ72" s="1">
        <v>0</v>
      </c>
      <c r="BK72" s="1">
        <v>0</v>
      </c>
      <c r="BL72" s="1">
        <v>0</v>
      </c>
      <c r="BM72" s="1">
        <v>0</v>
      </c>
      <c r="BN72" s="1">
        <v>0</v>
      </c>
      <c r="BO72" s="1">
        <v>0</v>
      </c>
    </row>
    <row r="73" hidden="1" spans="1:67">
      <c r="A73" s="18">
        <v>43711</v>
      </c>
      <c r="B73" s="18">
        <v>43717</v>
      </c>
      <c r="C73" s="18">
        <v>43744</v>
      </c>
      <c r="D73" s="18">
        <f ca="1" t="shared" ref="D73:I73" si="68">C73</f>
        <v>43744</v>
      </c>
      <c r="E73" s="18">
        <v>43752</v>
      </c>
      <c r="F73" s="18">
        <f ca="1" t="shared" si="68"/>
        <v>43752</v>
      </c>
      <c r="G73" s="18">
        <v>43744</v>
      </c>
      <c r="H73" s="18">
        <v>43757</v>
      </c>
      <c r="I73" s="18">
        <f ca="1" t="shared" si="68"/>
        <v>43757</v>
      </c>
      <c r="J73" s="18">
        <f ca="1" t="shared" si="66"/>
        <v>43757</v>
      </c>
      <c r="L73" s="1">
        <v>35</v>
      </c>
      <c r="M73" s="1" t="s">
        <v>3368</v>
      </c>
      <c r="N73" s="1">
        <v>36.1</v>
      </c>
      <c r="O73" s="1">
        <v>2394.2</v>
      </c>
      <c r="P73" s="1">
        <v>0</v>
      </c>
      <c r="Q73" s="1">
        <v>0</v>
      </c>
      <c r="R73" s="1">
        <v>0</v>
      </c>
      <c r="S73" s="1">
        <v>0</v>
      </c>
      <c r="T73" s="1">
        <v>0</v>
      </c>
      <c r="U73" s="1">
        <v>0</v>
      </c>
      <c r="V73" s="1" t="s">
        <v>3329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0</v>
      </c>
      <c r="AE73" s="1">
        <v>0</v>
      </c>
      <c r="AF73" s="1">
        <v>0</v>
      </c>
      <c r="AG73" s="1">
        <v>0</v>
      </c>
      <c r="AH73" s="1">
        <v>0</v>
      </c>
      <c r="AI73" s="1">
        <v>0</v>
      </c>
      <c r="AJ73" s="1">
        <v>0</v>
      </c>
      <c r="AK73" s="1">
        <v>0</v>
      </c>
      <c r="AL73" s="1">
        <v>0</v>
      </c>
      <c r="AM73" s="1">
        <v>0</v>
      </c>
      <c r="AN73" s="1">
        <v>0</v>
      </c>
      <c r="AO73" s="1">
        <v>1</v>
      </c>
      <c r="AP73" s="1">
        <v>0</v>
      </c>
      <c r="AQ73" s="1">
        <v>3</v>
      </c>
      <c r="AR73" s="1">
        <v>0</v>
      </c>
      <c r="AS73" s="1">
        <v>0</v>
      </c>
      <c r="AT73" s="1">
        <v>0</v>
      </c>
      <c r="AU73" s="1">
        <v>0</v>
      </c>
      <c r="AV73" s="1">
        <v>0</v>
      </c>
      <c r="AW73" s="1">
        <v>1</v>
      </c>
      <c r="AX73" s="1">
        <v>0</v>
      </c>
      <c r="AY73" s="1">
        <v>0</v>
      </c>
      <c r="AZ73" s="1">
        <v>0</v>
      </c>
      <c r="BA73" s="1">
        <v>0</v>
      </c>
      <c r="BB73" s="1">
        <v>0</v>
      </c>
      <c r="BC73" s="1">
        <v>0</v>
      </c>
      <c r="BD73" s="1">
        <v>0</v>
      </c>
      <c r="BE73" s="1">
        <v>3</v>
      </c>
      <c r="BF73" s="1">
        <v>0</v>
      </c>
      <c r="BG73" s="1">
        <v>0</v>
      </c>
      <c r="BH73" s="1">
        <v>1</v>
      </c>
      <c r="BI73" s="1">
        <v>0</v>
      </c>
      <c r="BJ73" s="1">
        <v>0</v>
      </c>
      <c r="BK73" s="1">
        <v>6</v>
      </c>
      <c r="BL73" s="1">
        <v>4</v>
      </c>
      <c r="BM73" s="1">
        <v>0</v>
      </c>
      <c r="BN73" s="1">
        <v>0</v>
      </c>
      <c r="BO73" s="1">
        <v>0</v>
      </c>
    </row>
    <row r="74" hidden="1" spans="1:67">
      <c r="A74" s="18">
        <v>43711</v>
      </c>
      <c r="B74" s="18">
        <v>43717</v>
      </c>
      <c r="C74" s="18">
        <v>43744</v>
      </c>
      <c r="D74" s="18">
        <f ca="1" t="shared" ref="D74:I74" si="69">C74</f>
        <v>43744</v>
      </c>
      <c r="E74" s="18">
        <v>43752</v>
      </c>
      <c r="F74" s="18">
        <f ca="1" t="shared" si="69"/>
        <v>43752</v>
      </c>
      <c r="G74" s="18">
        <v>43757</v>
      </c>
      <c r="H74" s="18">
        <v>43757</v>
      </c>
      <c r="I74" s="18">
        <f ca="1" t="shared" si="69"/>
        <v>43757</v>
      </c>
      <c r="J74" s="18">
        <f ca="1" t="shared" si="66"/>
        <v>43757</v>
      </c>
      <c r="L74" s="1">
        <v>33.7</v>
      </c>
      <c r="M74" s="1">
        <v>122</v>
      </c>
      <c r="N74" s="1">
        <v>34.6</v>
      </c>
      <c r="O74" s="1">
        <v>2427.9</v>
      </c>
      <c r="P74" s="1">
        <v>0</v>
      </c>
      <c r="Q74" s="1">
        <v>0</v>
      </c>
      <c r="R74" s="1">
        <v>0</v>
      </c>
      <c r="S74" s="1">
        <v>0</v>
      </c>
      <c r="T74" s="1">
        <v>0</v>
      </c>
      <c r="U74" s="1" t="s">
        <v>3329</v>
      </c>
      <c r="V74" s="1" t="s">
        <v>3329</v>
      </c>
      <c r="W74" s="1">
        <v>1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0</v>
      </c>
      <c r="AE74" s="1">
        <v>0</v>
      </c>
      <c r="AF74" s="1">
        <v>0</v>
      </c>
      <c r="AG74" s="1">
        <v>0</v>
      </c>
      <c r="AH74" s="1">
        <v>0</v>
      </c>
      <c r="AI74" s="1">
        <v>0</v>
      </c>
      <c r="AJ74" s="1">
        <v>0</v>
      </c>
      <c r="AK74" s="1">
        <v>0</v>
      </c>
      <c r="AL74" s="1">
        <v>0</v>
      </c>
      <c r="AM74" s="1">
        <v>0</v>
      </c>
      <c r="AN74" s="1">
        <v>0</v>
      </c>
      <c r="AO74" s="1">
        <v>1</v>
      </c>
      <c r="AP74" s="1">
        <v>0</v>
      </c>
      <c r="AQ74" s="1">
        <v>3</v>
      </c>
      <c r="AR74" s="1">
        <v>0</v>
      </c>
      <c r="AS74" s="1">
        <v>0</v>
      </c>
      <c r="AT74" s="1">
        <v>0</v>
      </c>
      <c r="AU74" s="1">
        <v>0</v>
      </c>
      <c r="AV74" s="1">
        <v>0</v>
      </c>
      <c r="AW74" s="1">
        <v>1</v>
      </c>
      <c r="AX74" s="1">
        <v>0</v>
      </c>
      <c r="AY74" s="1">
        <v>0</v>
      </c>
      <c r="AZ74" s="1">
        <v>0</v>
      </c>
      <c r="BA74" s="1">
        <v>0</v>
      </c>
      <c r="BB74" s="1">
        <v>0</v>
      </c>
      <c r="BC74" s="1">
        <v>0</v>
      </c>
      <c r="BD74" s="1">
        <v>0</v>
      </c>
      <c r="BE74" s="1">
        <v>3</v>
      </c>
      <c r="BF74" s="1">
        <v>0</v>
      </c>
      <c r="BG74" s="1">
        <v>0</v>
      </c>
      <c r="BH74" s="1">
        <v>0</v>
      </c>
      <c r="BI74" s="1">
        <v>0</v>
      </c>
      <c r="BJ74" s="1">
        <v>0</v>
      </c>
      <c r="BK74" s="1">
        <v>0</v>
      </c>
      <c r="BL74" s="1">
        <v>0</v>
      </c>
      <c r="BM74" s="1">
        <v>0</v>
      </c>
      <c r="BN74" s="1">
        <v>0</v>
      </c>
      <c r="BO74" s="1">
        <v>0</v>
      </c>
    </row>
    <row r="75" spans="1:67">
      <c r="A75" s="18">
        <v>43711</v>
      </c>
      <c r="B75" s="18">
        <v>43717</v>
      </c>
      <c r="C75" s="18">
        <v>43744</v>
      </c>
      <c r="D75" s="18">
        <f ca="1" t="shared" ref="D75:I75" si="70">C75</f>
        <v>43744</v>
      </c>
      <c r="E75" s="18">
        <v>43752</v>
      </c>
      <c r="F75" s="18">
        <f ca="1" t="shared" si="70"/>
        <v>43752</v>
      </c>
      <c r="G75" s="18">
        <v>43744</v>
      </c>
      <c r="H75" s="18">
        <v>43757</v>
      </c>
      <c r="I75" s="18">
        <f ca="1" t="shared" si="70"/>
        <v>43757</v>
      </c>
      <c r="J75" s="18">
        <f ca="1" t="shared" si="66"/>
        <v>43757</v>
      </c>
      <c r="L75" s="1">
        <v>35</v>
      </c>
      <c r="M75" s="1" t="s">
        <v>3369</v>
      </c>
      <c r="N75" s="1">
        <v>35.1</v>
      </c>
      <c r="O75" s="1">
        <v>2462.9</v>
      </c>
      <c r="P75" s="1">
        <v>0</v>
      </c>
      <c r="Q75" s="1">
        <v>0</v>
      </c>
      <c r="R75" s="1">
        <v>0</v>
      </c>
      <c r="S75" s="1">
        <v>0</v>
      </c>
      <c r="T75" s="1">
        <v>0</v>
      </c>
      <c r="U75" s="1">
        <v>0</v>
      </c>
      <c r="V75" s="1" t="s">
        <v>3329</v>
      </c>
      <c r="W75" s="1">
        <v>0</v>
      </c>
      <c r="Y75" s="1">
        <v>0</v>
      </c>
      <c r="Z75" s="1">
        <v>0</v>
      </c>
      <c r="AB75" s="1">
        <v>0</v>
      </c>
      <c r="AC75" s="1">
        <v>0</v>
      </c>
      <c r="AD75" s="1">
        <v>0</v>
      </c>
      <c r="AE75" s="1">
        <v>0</v>
      </c>
      <c r="AF75" s="1">
        <v>0</v>
      </c>
      <c r="AG75" s="1">
        <v>0</v>
      </c>
      <c r="AH75" s="1">
        <v>0</v>
      </c>
      <c r="AI75" s="1">
        <v>0</v>
      </c>
      <c r="AJ75" s="1">
        <v>0</v>
      </c>
      <c r="AK75" s="1">
        <v>0</v>
      </c>
      <c r="AL75" s="1">
        <v>0</v>
      </c>
      <c r="AM75" s="1">
        <v>0</v>
      </c>
      <c r="AN75" s="1">
        <v>0</v>
      </c>
      <c r="AO75" s="1">
        <v>1</v>
      </c>
      <c r="AP75" s="1">
        <v>0</v>
      </c>
      <c r="AQ75" s="1">
        <v>3</v>
      </c>
      <c r="AR75" s="1">
        <v>0</v>
      </c>
      <c r="AS75" s="1">
        <v>0</v>
      </c>
      <c r="AT75" s="1">
        <v>0</v>
      </c>
      <c r="AU75" s="1">
        <v>0</v>
      </c>
      <c r="AV75" s="1">
        <v>0</v>
      </c>
      <c r="AW75" s="1">
        <v>1</v>
      </c>
      <c r="AX75" s="1">
        <v>0</v>
      </c>
      <c r="AY75" s="1">
        <v>0</v>
      </c>
      <c r="AZ75" s="1">
        <v>0</v>
      </c>
      <c r="BA75" s="1">
        <v>0</v>
      </c>
      <c r="BB75" s="1">
        <v>0</v>
      </c>
      <c r="BC75" s="1">
        <v>0</v>
      </c>
      <c r="BD75" s="1">
        <v>0</v>
      </c>
      <c r="BE75" s="1">
        <v>3</v>
      </c>
      <c r="BF75" s="1">
        <v>0</v>
      </c>
      <c r="BG75" s="1">
        <v>0</v>
      </c>
      <c r="BH75" s="1">
        <v>1</v>
      </c>
      <c r="BI75" s="1">
        <v>0</v>
      </c>
      <c r="BJ75" s="1">
        <v>0</v>
      </c>
      <c r="BK75" s="1">
        <v>11</v>
      </c>
      <c r="BL75" s="1">
        <v>4</v>
      </c>
      <c r="BM75" s="1">
        <v>0</v>
      </c>
      <c r="BN75" s="1">
        <v>0</v>
      </c>
      <c r="BO75" s="1">
        <v>0</v>
      </c>
    </row>
    <row r="76" hidden="1" spans="1:67">
      <c r="A76" s="18">
        <v>43711</v>
      </c>
      <c r="B76" s="18">
        <v>43717</v>
      </c>
      <c r="C76" s="18">
        <v>43744</v>
      </c>
      <c r="D76" s="18">
        <f ca="1" t="shared" ref="D76:I76" si="71">C76</f>
        <v>43744</v>
      </c>
      <c r="E76" s="18">
        <v>43752</v>
      </c>
      <c r="F76" s="18">
        <f ca="1" t="shared" si="71"/>
        <v>43752</v>
      </c>
      <c r="G76" s="18">
        <v>43744</v>
      </c>
      <c r="H76" s="18">
        <v>43757</v>
      </c>
      <c r="I76" s="18">
        <f ca="1" t="shared" si="71"/>
        <v>43757</v>
      </c>
      <c r="J76" s="18">
        <f ca="1" t="shared" si="66"/>
        <v>43757</v>
      </c>
      <c r="L76" s="1">
        <v>34.3</v>
      </c>
      <c r="M76" s="1">
        <v>123</v>
      </c>
      <c r="N76" s="1">
        <v>39</v>
      </c>
      <c r="O76" s="1">
        <v>2497.2</v>
      </c>
      <c r="P76" s="1">
        <v>0</v>
      </c>
      <c r="Q76" s="1">
        <v>0</v>
      </c>
      <c r="R76" s="1">
        <v>0</v>
      </c>
      <c r="S76" s="1">
        <v>0</v>
      </c>
      <c r="T76" s="1">
        <v>5</v>
      </c>
      <c r="U76" s="1" t="s">
        <v>3329</v>
      </c>
      <c r="V76" s="1" t="s">
        <v>3329</v>
      </c>
      <c r="W76" s="1">
        <v>1</v>
      </c>
      <c r="X76" s="1">
        <v>0</v>
      </c>
      <c r="Y76" s="1">
        <v>1</v>
      </c>
      <c r="Z76" s="1">
        <v>0</v>
      </c>
      <c r="AA76" s="1">
        <v>0</v>
      </c>
      <c r="AB76" s="1">
        <v>0</v>
      </c>
      <c r="AC76" s="1">
        <v>1</v>
      </c>
      <c r="AD76" s="1">
        <v>0</v>
      </c>
      <c r="AE76" s="1">
        <v>0</v>
      </c>
      <c r="AF76" s="1">
        <v>0</v>
      </c>
      <c r="AG76" s="1">
        <v>0</v>
      </c>
      <c r="AH76" s="1">
        <v>0</v>
      </c>
      <c r="AI76" s="1">
        <v>0</v>
      </c>
      <c r="AJ76" s="1">
        <v>0</v>
      </c>
      <c r="AK76" s="1">
        <v>0</v>
      </c>
      <c r="AL76" s="1">
        <v>1</v>
      </c>
      <c r="AM76" s="1">
        <v>0</v>
      </c>
      <c r="AN76" s="1">
        <v>0</v>
      </c>
      <c r="AO76" s="1">
        <v>1</v>
      </c>
      <c r="AP76" s="1">
        <v>0</v>
      </c>
      <c r="AQ76" s="1">
        <v>3</v>
      </c>
      <c r="AR76" s="1">
        <v>0</v>
      </c>
      <c r="AS76" s="1">
        <v>0</v>
      </c>
      <c r="AT76" s="1">
        <v>0</v>
      </c>
      <c r="AU76" s="1">
        <v>0</v>
      </c>
      <c r="AV76" s="1">
        <v>0</v>
      </c>
      <c r="AW76" s="1">
        <v>1</v>
      </c>
      <c r="AX76" s="1">
        <v>1</v>
      </c>
      <c r="AY76" s="1">
        <v>1</v>
      </c>
      <c r="AZ76" s="1">
        <v>0</v>
      </c>
      <c r="BA76" s="1">
        <v>0</v>
      </c>
      <c r="BB76" s="1">
        <v>2</v>
      </c>
      <c r="BC76" s="1">
        <v>0</v>
      </c>
      <c r="BD76" s="1">
        <v>0</v>
      </c>
      <c r="BE76" s="1">
        <v>3</v>
      </c>
      <c r="BF76" s="1">
        <v>0</v>
      </c>
      <c r="BG76" s="1">
        <v>0</v>
      </c>
      <c r="BH76" s="1">
        <v>0</v>
      </c>
      <c r="BI76" s="1">
        <v>0</v>
      </c>
      <c r="BJ76" s="1">
        <v>0</v>
      </c>
      <c r="BK76" s="1">
        <v>0</v>
      </c>
      <c r="BL76" s="1">
        <v>0</v>
      </c>
      <c r="BM76" s="1">
        <v>0</v>
      </c>
      <c r="BN76" s="1" t="s">
        <v>3341</v>
      </c>
      <c r="BO76" s="1">
        <v>0</v>
      </c>
    </row>
    <row r="77" hidden="1" spans="1:67">
      <c r="A77" s="18">
        <v>43712</v>
      </c>
      <c r="B77" s="18">
        <v>43717</v>
      </c>
      <c r="C77" s="18">
        <v>43744</v>
      </c>
      <c r="D77" s="18">
        <f ca="1" t="shared" ref="D77:I77" si="72">C77</f>
        <v>43744</v>
      </c>
      <c r="E77" s="18">
        <v>43752</v>
      </c>
      <c r="F77" s="18">
        <f ca="1" t="shared" si="72"/>
        <v>43752</v>
      </c>
      <c r="G77" s="18">
        <v>43744</v>
      </c>
      <c r="H77" s="18">
        <v>43757</v>
      </c>
      <c r="I77" s="18">
        <f ca="1" t="shared" si="72"/>
        <v>43757</v>
      </c>
      <c r="J77" s="18">
        <f ca="1" t="shared" si="66"/>
        <v>43757</v>
      </c>
      <c r="L77" s="1">
        <v>38</v>
      </c>
      <c r="M77" s="1" t="s">
        <v>3370</v>
      </c>
      <c r="N77" s="1">
        <v>39.1</v>
      </c>
      <c r="O77" s="1">
        <v>2535.2</v>
      </c>
      <c r="P77" s="1">
        <v>0</v>
      </c>
      <c r="Q77" s="1">
        <v>0</v>
      </c>
      <c r="R77" s="1">
        <v>0</v>
      </c>
      <c r="S77" s="1">
        <v>0</v>
      </c>
      <c r="T77" s="1">
        <v>0</v>
      </c>
      <c r="U77" s="1">
        <v>0</v>
      </c>
      <c r="V77" s="1" t="s">
        <v>3329</v>
      </c>
      <c r="W77" s="1">
        <v>0</v>
      </c>
      <c r="X77" s="1">
        <v>1</v>
      </c>
      <c r="Y77" s="1">
        <v>0</v>
      </c>
      <c r="Z77" s="1">
        <v>1</v>
      </c>
      <c r="AA77" s="1">
        <v>0</v>
      </c>
      <c r="AB77" s="1">
        <v>0</v>
      </c>
      <c r="AC77" s="1">
        <v>0</v>
      </c>
      <c r="AD77" s="1">
        <v>0</v>
      </c>
      <c r="AE77" s="1">
        <v>0</v>
      </c>
      <c r="AF77" s="1">
        <v>0</v>
      </c>
      <c r="AG77" s="1">
        <v>0</v>
      </c>
      <c r="AH77" s="1">
        <v>0</v>
      </c>
      <c r="AI77" s="1">
        <v>0</v>
      </c>
      <c r="AJ77" s="1">
        <v>0</v>
      </c>
      <c r="AK77" s="1">
        <v>0</v>
      </c>
      <c r="AL77" s="1">
        <v>0</v>
      </c>
      <c r="AM77" s="1">
        <v>0</v>
      </c>
      <c r="AN77" s="1">
        <v>0</v>
      </c>
      <c r="AO77" s="1">
        <v>1</v>
      </c>
      <c r="AP77" s="1">
        <v>0</v>
      </c>
      <c r="AQ77" s="1">
        <v>3</v>
      </c>
      <c r="AR77" s="1">
        <v>0</v>
      </c>
      <c r="AS77" s="1">
        <v>0</v>
      </c>
      <c r="AT77" s="1">
        <v>0</v>
      </c>
      <c r="AU77" s="1">
        <v>0</v>
      </c>
      <c r="AV77" s="1">
        <v>0</v>
      </c>
      <c r="AW77" s="1">
        <v>1</v>
      </c>
      <c r="AX77" s="1">
        <v>0</v>
      </c>
      <c r="AY77" s="1">
        <v>0</v>
      </c>
      <c r="AZ77" s="1">
        <v>0</v>
      </c>
      <c r="BA77" s="1">
        <v>0</v>
      </c>
      <c r="BB77" s="1">
        <v>0</v>
      </c>
      <c r="BC77" s="1">
        <v>0</v>
      </c>
      <c r="BD77" s="1">
        <v>0</v>
      </c>
      <c r="BE77" s="1">
        <v>3</v>
      </c>
      <c r="BF77" s="1">
        <v>0</v>
      </c>
      <c r="BG77" s="1">
        <v>0</v>
      </c>
      <c r="BH77" s="1">
        <v>1</v>
      </c>
      <c r="BI77" s="1">
        <v>0</v>
      </c>
      <c r="BJ77" s="1">
        <v>0</v>
      </c>
      <c r="BK77" s="1">
        <v>4</v>
      </c>
      <c r="BL77" s="1">
        <v>4</v>
      </c>
      <c r="BM77" s="1">
        <v>0</v>
      </c>
      <c r="BN77" s="1">
        <v>0</v>
      </c>
      <c r="BO77" s="1">
        <v>0</v>
      </c>
    </row>
    <row r="78" hidden="1" spans="1:67">
      <c r="A78" s="18">
        <v>43712</v>
      </c>
      <c r="B78" s="18">
        <v>43717</v>
      </c>
      <c r="C78" s="18">
        <v>43744</v>
      </c>
      <c r="D78" s="18">
        <f ca="1" t="shared" ref="D78:I78" si="73">C78</f>
        <v>43744</v>
      </c>
      <c r="E78" s="18">
        <v>43752</v>
      </c>
      <c r="F78" s="18">
        <f ca="1" t="shared" si="73"/>
        <v>43752</v>
      </c>
      <c r="G78" s="18">
        <v>43757</v>
      </c>
      <c r="H78" s="18">
        <v>43757</v>
      </c>
      <c r="I78" s="18">
        <f ca="1" t="shared" si="73"/>
        <v>43757</v>
      </c>
      <c r="J78" s="18">
        <f ca="1" t="shared" si="66"/>
        <v>43757</v>
      </c>
      <c r="L78" s="1">
        <v>41.6</v>
      </c>
      <c r="M78" s="1">
        <v>124</v>
      </c>
      <c r="N78" s="1">
        <v>31.1</v>
      </c>
      <c r="O78" s="1">
        <v>2576.8</v>
      </c>
      <c r="P78" s="1">
        <v>0</v>
      </c>
      <c r="Q78" s="1">
        <v>0</v>
      </c>
      <c r="R78" s="1">
        <v>0</v>
      </c>
      <c r="S78" s="1">
        <v>0</v>
      </c>
      <c r="T78" s="1">
        <v>0</v>
      </c>
      <c r="U78" s="1" t="s">
        <v>3329</v>
      </c>
      <c r="V78" s="1" t="s">
        <v>3329</v>
      </c>
      <c r="W78" s="1">
        <v>1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0</v>
      </c>
      <c r="AE78" s="1">
        <v>0</v>
      </c>
      <c r="AF78" s="1">
        <v>0</v>
      </c>
      <c r="AG78" s="1">
        <v>0</v>
      </c>
      <c r="AH78" s="1">
        <v>0</v>
      </c>
      <c r="AI78" s="1">
        <v>0</v>
      </c>
      <c r="AJ78" s="1">
        <v>0</v>
      </c>
      <c r="AK78" s="1">
        <v>1</v>
      </c>
      <c r="AL78" s="1">
        <v>0</v>
      </c>
      <c r="AM78" s="1">
        <v>0</v>
      </c>
      <c r="AN78" s="1">
        <v>0</v>
      </c>
      <c r="AO78" s="1">
        <v>1</v>
      </c>
      <c r="AP78" s="1">
        <v>0</v>
      </c>
      <c r="AQ78" s="1">
        <v>3</v>
      </c>
      <c r="AR78" s="1">
        <v>0</v>
      </c>
      <c r="AS78" s="1">
        <v>0</v>
      </c>
      <c r="AT78" s="1">
        <v>0</v>
      </c>
      <c r="AU78" s="1">
        <v>0</v>
      </c>
      <c r="AV78" s="1">
        <v>0</v>
      </c>
      <c r="AW78" s="1">
        <v>1</v>
      </c>
      <c r="AX78" s="1">
        <v>0</v>
      </c>
      <c r="AY78" s="1">
        <v>0</v>
      </c>
      <c r="AZ78" s="1">
        <v>0</v>
      </c>
      <c r="BA78" s="1">
        <v>0</v>
      </c>
      <c r="BB78" s="1">
        <v>0</v>
      </c>
      <c r="BC78" s="1">
        <v>0</v>
      </c>
      <c r="BD78" s="1">
        <v>0</v>
      </c>
      <c r="BE78" s="1">
        <v>3</v>
      </c>
      <c r="BF78" s="1">
        <v>0</v>
      </c>
      <c r="BG78" s="1">
        <v>0</v>
      </c>
      <c r="BH78" s="1">
        <v>0</v>
      </c>
      <c r="BI78" s="1">
        <v>0</v>
      </c>
      <c r="BJ78" s="1">
        <v>0</v>
      </c>
      <c r="BK78" s="1">
        <v>0</v>
      </c>
      <c r="BL78" s="1">
        <v>0</v>
      </c>
      <c r="BM78" s="1">
        <v>0</v>
      </c>
      <c r="BN78" s="1">
        <v>0</v>
      </c>
      <c r="BO78" s="1">
        <v>0</v>
      </c>
    </row>
    <row r="79" hidden="1" spans="1:67">
      <c r="A79" s="18">
        <v>43712</v>
      </c>
      <c r="B79" s="18">
        <v>43717</v>
      </c>
      <c r="C79" s="18">
        <v>43744</v>
      </c>
      <c r="D79" s="18">
        <f ca="1" t="shared" ref="D79:I79" si="74">C79</f>
        <v>43744</v>
      </c>
      <c r="E79" s="18">
        <v>43752</v>
      </c>
      <c r="F79" s="18">
        <f ca="1" t="shared" si="74"/>
        <v>43752</v>
      </c>
      <c r="G79" s="18">
        <v>43744</v>
      </c>
      <c r="H79" s="18">
        <v>43757</v>
      </c>
      <c r="I79" s="18">
        <f ca="1" t="shared" si="74"/>
        <v>43757</v>
      </c>
      <c r="J79" s="18">
        <f ca="1" t="shared" si="66"/>
        <v>43757</v>
      </c>
      <c r="L79" s="1">
        <v>33.6</v>
      </c>
      <c r="M79" s="1" t="s">
        <v>3371</v>
      </c>
      <c r="N79" s="1">
        <v>38.2</v>
      </c>
      <c r="O79" s="1">
        <v>2610.4</v>
      </c>
      <c r="P79" s="1">
        <v>0</v>
      </c>
      <c r="Q79" s="1">
        <v>0</v>
      </c>
      <c r="R79" s="1">
        <v>0</v>
      </c>
      <c r="S79" s="1">
        <v>0</v>
      </c>
      <c r="T79" s="1">
        <v>0</v>
      </c>
      <c r="U79" s="1">
        <v>0</v>
      </c>
      <c r="V79" s="1" t="s">
        <v>3329</v>
      </c>
      <c r="W79" s="1">
        <v>0</v>
      </c>
      <c r="X79" s="1">
        <v>1</v>
      </c>
      <c r="Y79" s="1">
        <v>0</v>
      </c>
      <c r="Z79" s="1">
        <v>1</v>
      </c>
      <c r="AA79" s="1">
        <v>0</v>
      </c>
      <c r="AB79" s="1">
        <v>0</v>
      </c>
      <c r="AC79" s="1">
        <v>0</v>
      </c>
      <c r="AD79" s="1">
        <v>0</v>
      </c>
      <c r="AE79" s="1">
        <v>0</v>
      </c>
      <c r="AF79" s="1">
        <v>0</v>
      </c>
      <c r="AG79" s="1">
        <v>0</v>
      </c>
      <c r="AH79" s="1">
        <v>0</v>
      </c>
      <c r="AI79" s="1">
        <v>0</v>
      </c>
      <c r="AJ79" s="1">
        <v>0</v>
      </c>
      <c r="AK79" s="1">
        <v>0</v>
      </c>
      <c r="AL79" s="1">
        <v>0</v>
      </c>
      <c r="AM79" s="1">
        <v>0</v>
      </c>
      <c r="AN79" s="1">
        <v>0</v>
      </c>
      <c r="AO79" s="1">
        <v>1</v>
      </c>
      <c r="AP79" s="1">
        <v>0</v>
      </c>
      <c r="AQ79" s="1">
        <v>3</v>
      </c>
      <c r="AR79" s="1">
        <v>0</v>
      </c>
      <c r="AS79" s="1">
        <v>0</v>
      </c>
      <c r="AT79" s="1">
        <v>0</v>
      </c>
      <c r="AU79" s="1">
        <v>0</v>
      </c>
      <c r="AV79" s="1">
        <v>0</v>
      </c>
      <c r="AW79" s="1">
        <v>1</v>
      </c>
      <c r="AX79" s="1">
        <v>0</v>
      </c>
      <c r="AY79" s="1">
        <v>0</v>
      </c>
      <c r="AZ79" s="1">
        <v>0</v>
      </c>
      <c r="BA79" s="1">
        <v>0</v>
      </c>
      <c r="BB79" s="1">
        <v>0</v>
      </c>
      <c r="BC79" s="1">
        <v>0</v>
      </c>
      <c r="BD79" s="1">
        <v>0</v>
      </c>
      <c r="BE79" s="1">
        <v>3</v>
      </c>
      <c r="BF79" s="1">
        <v>0</v>
      </c>
      <c r="BG79" s="1">
        <v>0</v>
      </c>
      <c r="BH79" s="1">
        <v>2</v>
      </c>
      <c r="BI79" s="1">
        <v>0</v>
      </c>
      <c r="BJ79" s="1">
        <v>3</v>
      </c>
      <c r="BK79" s="1">
        <v>5</v>
      </c>
      <c r="BL79" s="1">
        <v>0</v>
      </c>
      <c r="BM79" s="1">
        <v>0</v>
      </c>
      <c r="BN79" s="1">
        <v>0</v>
      </c>
      <c r="BO79" s="1">
        <v>0</v>
      </c>
    </row>
    <row r="80" hidden="1" spans="1:67">
      <c r="A80" s="18">
        <v>43712</v>
      </c>
      <c r="B80" s="18">
        <v>43717</v>
      </c>
      <c r="C80" s="18">
        <v>43744</v>
      </c>
      <c r="D80" s="18">
        <f ca="1" t="shared" ref="D80:I80" si="75">C80</f>
        <v>43744</v>
      </c>
      <c r="E80" s="18">
        <v>43752</v>
      </c>
      <c r="F80" s="18">
        <f ca="1" t="shared" si="75"/>
        <v>43752</v>
      </c>
      <c r="G80" s="18">
        <v>43757</v>
      </c>
      <c r="H80" s="18">
        <v>43757</v>
      </c>
      <c r="I80" s="18">
        <f ca="1" t="shared" si="75"/>
        <v>43757</v>
      </c>
      <c r="J80" s="18">
        <f ca="1" t="shared" si="66"/>
        <v>43757</v>
      </c>
      <c r="L80" s="1">
        <v>34</v>
      </c>
      <c r="M80" s="1">
        <v>125</v>
      </c>
      <c r="N80" s="1">
        <v>30.7</v>
      </c>
      <c r="O80" s="1">
        <v>2644.4</v>
      </c>
      <c r="P80" s="1">
        <v>0</v>
      </c>
      <c r="Q80" s="1">
        <v>0</v>
      </c>
      <c r="R80" s="1">
        <v>0</v>
      </c>
      <c r="S80" s="1">
        <v>0</v>
      </c>
      <c r="T80" s="1">
        <v>0</v>
      </c>
      <c r="U80" s="1" t="s">
        <v>3329</v>
      </c>
      <c r="V80" s="1" t="s">
        <v>3329</v>
      </c>
      <c r="W80" s="1">
        <v>1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0</v>
      </c>
      <c r="AD80" s="1">
        <v>0</v>
      </c>
      <c r="AE80" s="1">
        <v>0</v>
      </c>
      <c r="AF80" s="1">
        <v>0</v>
      </c>
      <c r="AG80" s="1">
        <v>0</v>
      </c>
      <c r="AH80" s="1">
        <v>0</v>
      </c>
      <c r="AI80" s="1">
        <v>0</v>
      </c>
      <c r="AJ80" s="1">
        <v>0</v>
      </c>
      <c r="AK80" s="1">
        <v>0</v>
      </c>
      <c r="AL80" s="1">
        <v>0</v>
      </c>
      <c r="AM80" s="1">
        <v>0</v>
      </c>
      <c r="AN80" s="1">
        <v>0</v>
      </c>
      <c r="AO80" s="1">
        <v>1</v>
      </c>
      <c r="AP80" s="1">
        <v>0</v>
      </c>
      <c r="AQ80" s="1">
        <v>3</v>
      </c>
      <c r="AR80" s="1">
        <v>0</v>
      </c>
      <c r="AS80" s="1">
        <v>0</v>
      </c>
      <c r="AT80" s="1">
        <v>0</v>
      </c>
      <c r="AU80" s="1">
        <v>0</v>
      </c>
      <c r="AV80" s="1">
        <v>0</v>
      </c>
      <c r="AW80" s="1">
        <v>1</v>
      </c>
      <c r="AX80" s="1">
        <v>0</v>
      </c>
      <c r="AY80" s="1">
        <v>0</v>
      </c>
      <c r="AZ80" s="1">
        <v>0</v>
      </c>
      <c r="BA80" s="1">
        <v>0</v>
      </c>
      <c r="BB80" s="1">
        <v>0</v>
      </c>
      <c r="BC80" s="1">
        <v>0</v>
      </c>
      <c r="BD80" s="1">
        <v>0</v>
      </c>
      <c r="BE80" s="1">
        <v>3</v>
      </c>
      <c r="BF80" s="1">
        <v>0</v>
      </c>
      <c r="BG80" s="1">
        <v>0</v>
      </c>
      <c r="BH80" s="1">
        <v>0</v>
      </c>
      <c r="BI80" s="1">
        <v>0</v>
      </c>
      <c r="BJ80" s="1">
        <v>0</v>
      </c>
      <c r="BK80" s="1">
        <v>0</v>
      </c>
      <c r="BL80" s="1">
        <v>0</v>
      </c>
      <c r="BM80" s="1">
        <v>0</v>
      </c>
      <c r="BN80" s="1">
        <v>0</v>
      </c>
      <c r="BO80" s="1">
        <v>0</v>
      </c>
    </row>
    <row r="81" hidden="1" spans="1:67">
      <c r="A81" s="18">
        <v>43712</v>
      </c>
      <c r="B81" s="18">
        <v>43717</v>
      </c>
      <c r="C81" s="18">
        <v>43744</v>
      </c>
      <c r="D81" s="18">
        <f ca="1" t="shared" ref="D81:I81" si="76">C81</f>
        <v>43744</v>
      </c>
      <c r="E81" s="18">
        <v>43752</v>
      </c>
      <c r="F81" s="18">
        <f ca="1" t="shared" si="76"/>
        <v>43752</v>
      </c>
      <c r="G81" s="18">
        <v>43744</v>
      </c>
      <c r="H81" s="18">
        <v>43757</v>
      </c>
      <c r="I81" s="18">
        <f ca="1" t="shared" si="76"/>
        <v>43757</v>
      </c>
      <c r="J81" s="18">
        <f ca="1" t="shared" si="66"/>
        <v>43757</v>
      </c>
      <c r="L81" s="1">
        <v>36</v>
      </c>
      <c r="M81" s="1" t="s">
        <v>3372</v>
      </c>
      <c r="N81" s="1">
        <v>38.4</v>
      </c>
      <c r="O81" s="1">
        <v>2680.4</v>
      </c>
      <c r="P81" s="1">
        <v>0</v>
      </c>
      <c r="Q81" s="1">
        <v>0</v>
      </c>
      <c r="R81" s="1">
        <v>0</v>
      </c>
      <c r="S81" s="1">
        <v>0</v>
      </c>
      <c r="T81" s="1">
        <v>0</v>
      </c>
      <c r="U81" s="1">
        <v>0</v>
      </c>
      <c r="V81" s="1" t="s">
        <v>3329</v>
      </c>
      <c r="W81" s="1">
        <v>0</v>
      </c>
      <c r="X81" s="1">
        <v>1</v>
      </c>
      <c r="Y81" s="1">
        <v>0</v>
      </c>
      <c r="Z81" s="1">
        <v>0</v>
      </c>
      <c r="AA81" s="1">
        <v>1</v>
      </c>
      <c r="AB81" s="1">
        <v>0</v>
      </c>
      <c r="AC81" s="1">
        <v>0</v>
      </c>
      <c r="AD81" s="1">
        <v>0</v>
      </c>
      <c r="AE81" s="1">
        <v>0</v>
      </c>
      <c r="AF81" s="1">
        <v>0</v>
      </c>
      <c r="AG81" s="1">
        <v>0</v>
      </c>
      <c r="AH81" s="1">
        <v>0</v>
      </c>
      <c r="AI81" s="1">
        <v>0</v>
      </c>
      <c r="AJ81" s="1">
        <v>0</v>
      </c>
      <c r="AK81" s="1">
        <v>0</v>
      </c>
      <c r="AL81" s="1">
        <v>0</v>
      </c>
      <c r="AM81" s="1">
        <v>0</v>
      </c>
      <c r="AN81" s="1">
        <v>0</v>
      </c>
      <c r="AO81" s="1">
        <v>1</v>
      </c>
      <c r="AP81" s="1">
        <v>0</v>
      </c>
      <c r="AQ81" s="1">
        <v>3</v>
      </c>
      <c r="AR81" s="1">
        <v>0</v>
      </c>
      <c r="AS81" s="1">
        <v>0</v>
      </c>
      <c r="AT81" s="1">
        <v>0</v>
      </c>
      <c r="AU81" s="1">
        <v>0</v>
      </c>
      <c r="AV81" s="1">
        <v>0</v>
      </c>
      <c r="AW81" s="1">
        <v>1</v>
      </c>
      <c r="AX81" s="1">
        <v>0</v>
      </c>
      <c r="AY81" s="1">
        <v>0</v>
      </c>
      <c r="AZ81" s="1">
        <v>0</v>
      </c>
      <c r="BA81" s="1">
        <v>0</v>
      </c>
      <c r="BB81" s="1">
        <v>0</v>
      </c>
      <c r="BC81" s="1">
        <v>0</v>
      </c>
      <c r="BD81" s="1">
        <v>0</v>
      </c>
      <c r="BE81" s="1">
        <v>3</v>
      </c>
      <c r="BF81" s="1">
        <v>0</v>
      </c>
      <c r="BG81" s="1">
        <v>0</v>
      </c>
      <c r="BH81" s="1">
        <v>0</v>
      </c>
      <c r="BI81" s="1">
        <v>0</v>
      </c>
      <c r="BJ81" s="1">
        <v>0</v>
      </c>
      <c r="BK81" s="1">
        <v>0</v>
      </c>
      <c r="BL81" s="1">
        <v>0</v>
      </c>
      <c r="BM81" s="1">
        <v>0</v>
      </c>
      <c r="BN81" s="1">
        <v>0</v>
      </c>
      <c r="BO81" s="1">
        <v>0</v>
      </c>
    </row>
    <row r="82" hidden="1" spans="1:67">
      <c r="A82" s="18">
        <v>43712</v>
      </c>
      <c r="B82" s="18">
        <v>43717</v>
      </c>
      <c r="C82" s="18">
        <v>43744</v>
      </c>
      <c r="D82" s="18">
        <f ca="1" t="shared" ref="D82:I82" si="77">C82</f>
        <v>43744</v>
      </c>
      <c r="E82" s="18">
        <v>43752</v>
      </c>
      <c r="F82" s="18">
        <f ca="1" t="shared" si="77"/>
        <v>43752</v>
      </c>
      <c r="G82" s="18">
        <v>43757</v>
      </c>
      <c r="H82" s="18">
        <v>43757</v>
      </c>
      <c r="I82" s="18">
        <f ca="1" t="shared" si="77"/>
        <v>43757</v>
      </c>
      <c r="J82" s="18">
        <f ca="1" t="shared" si="66"/>
        <v>43757</v>
      </c>
      <c r="L82" s="1">
        <v>36.3</v>
      </c>
      <c r="M82" s="1">
        <v>126</v>
      </c>
      <c r="N82" s="1">
        <v>32.5</v>
      </c>
      <c r="O82" s="1">
        <v>2716.7</v>
      </c>
      <c r="P82" s="1">
        <v>0</v>
      </c>
      <c r="Q82" s="1">
        <v>0</v>
      </c>
      <c r="R82" s="1">
        <v>0</v>
      </c>
      <c r="S82" s="1">
        <v>0</v>
      </c>
      <c r="T82" s="1">
        <v>0</v>
      </c>
      <c r="U82" s="1" t="s">
        <v>3329</v>
      </c>
      <c r="V82" s="1" t="s">
        <v>3329</v>
      </c>
      <c r="W82" s="1">
        <v>1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0</v>
      </c>
      <c r="AD82" s="1">
        <v>0</v>
      </c>
      <c r="AE82" s="1">
        <v>0</v>
      </c>
      <c r="AF82" s="1">
        <v>0</v>
      </c>
      <c r="AG82" s="1">
        <v>0</v>
      </c>
      <c r="AH82" s="1">
        <v>0</v>
      </c>
      <c r="AI82" s="1">
        <v>0</v>
      </c>
      <c r="AJ82" s="1">
        <v>0</v>
      </c>
      <c r="AK82" s="1">
        <v>0</v>
      </c>
      <c r="AL82" s="1">
        <v>0</v>
      </c>
      <c r="AM82" s="1">
        <v>0</v>
      </c>
      <c r="AN82" s="1">
        <v>0</v>
      </c>
      <c r="AO82" s="1">
        <v>1</v>
      </c>
      <c r="AP82" s="1">
        <v>0</v>
      </c>
      <c r="AQ82" s="1">
        <v>3</v>
      </c>
      <c r="AR82" s="1">
        <v>0</v>
      </c>
      <c r="AS82" s="1">
        <v>0</v>
      </c>
      <c r="AT82" s="1">
        <v>0</v>
      </c>
      <c r="AU82" s="1">
        <v>0</v>
      </c>
      <c r="AV82" s="1">
        <v>1</v>
      </c>
      <c r="AW82" s="1">
        <v>1</v>
      </c>
      <c r="AX82" s="1">
        <v>0</v>
      </c>
      <c r="AY82" s="1">
        <v>0</v>
      </c>
      <c r="AZ82" s="1">
        <v>0</v>
      </c>
      <c r="BA82" s="1">
        <v>0</v>
      </c>
      <c r="BB82" s="1">
        <v>0</v>
      </c>
      <c r="BC82" s="1">
        <v>0</v>
      </c>
      <c r="BD82" s="1">
        <v>0</v>
      </c>
      <c r="BE82" s="1">
        <v>3</v>
      </c>
      <c r="BF82" s="1">
        <v>0</v>
      </c>
      <c r="BG82" s="1">
        <v>0</v>
      </c>
      <c r="BH82" s="1">
        <v>0</v>
      </c>
      <c r="BI82" s="1">
        <v>0</v>
      </c>
      <c r="BJ82" s="1">
        <v>0</v>
      </c>
      <c r="BK82" s="1">
        <v>0</v>
      </c>
      <c r="BL82" s="1">
        <v>0</v>
      </c>
      <c r="BM82" s="1">
        <v>0</v>
      </c>
      <c r="BN82" s="1">
        <v>0</v>
      </c>
      <c r="BO82" s="1">
        <v>0</v>
      </c>
    </row>
    <row r="83" hidden="1" spans="1:67">
      <c r="A83" s="18">
        <v>43712</v>
      </c>
      <c r="B83" s="18">
        <v>43717</v>
      </c>
      <c r="C83" s="18">
        <v>43744</v>
      </c>
      <c r="D83" s="18">
        <f ca="1" t="shared" ref="D83:I83" si="78">C83</f>
        <v>43744</v>
      </c>
      <c r="E83" s="18">
        <v>43752</v>
      </c>
      <c r="F83" s="18">
        <f ca="1" t="shared" si="78"/>
        <v>43752</v>
      </c>
      <c r="G83" s="18">
        <v>43744</v>
      </c>
      <c r="H83" s="18">
        <v>43757</v>
      </c>
      <c r="I83" s="18">
        <f ca="1" t="shared" si="78"/>
        <v>43757</v>
      </c>
      <c r="J83" s="18">
        <f ca="1" t="shared" si="66"/>
        <v>43757</v>
      </c>
      <c r="L83" s="1">
        <v>34</v>
      </c>
      <c r="M83" s="1" t="s">
        <v>3373</v>
      </c>
      <c r="N83" s="1">
        <v>32.1</v>
      </c>
      <c r="O83" s="1">
        <v>2750.7</v>
      </c>
      <c r="P83" s="1">
        <v>0</v>
      </c>
      <c r="Q83" s="1">
        <v>0</v>
      </c>
      <c r="R83" s="1">
        <v>0</v>
      </c>
      <c r="S83" s="1">
        <v>0</v>
      </c>
      <c r="T83" s="1">
        <v>0</v>
      </c>
      <c r="U83" s="1">
        <v>0</v>
      </c>
      <c r="V83" s="1" t="s">
        <v>3329</v>
      </c>
      <c r="W83" s="1">
        <v>0</v>
      </c>
      <c r="X83" s="1">
        <v>1</v>
      </c>
      <c r="Y83" s="1">
        <v>0</v>
      </c>
      <c r="Z83" s="1">
        <v>0</v>
      </c>
      <c r="AA83" s="1">
        <v>1</v>
      </c>
      <c r="AB83" s="1">
        <v>0</v>
      </c>
      <c r="AC83" s="1">
        <v>0</v>
      </c>
      <c r="AD83" s="1">
        <v>0</v>
      </c>
      <c r="AE83" s="1">
        <v>0</v>
      </c>
      <c r="AF83" s="1">
        <v>0</v>
      </c>
      <c r="AG83" s="1">
        <v>0</v>
      </c>
      <c r="AH83" s="1">
        <v>0</v>
      </c>
      <c r="AI83" s="1">
        <v>0</v>
      </c>
      <c r="AJ83" s="1">
        <v>0</v>
      </c>
      <c r="AK83" s="1">
        <v>0</v>
      </c>
      <c r="AL83" s="1">
        <v>0</v>
      </c>
      <c r="AM83" s="1">
        <v>0</v>
      </c>
      <c r="AN83" s="1">
        <v>0</v>
      </c>
      <c r="AO83" s="1">
        <v>1</v>
      </c>
      <c r="AP83" s="1">
        <v>0</v>
      </c>
      <c r="AQ83" s="1">
        <v>3</v>
      </c>
      <c r="AR83" s="1">
        <v>0</v>
      </c>
      <c r="AS83" s="1">
        <v>0</v>
      </c>
      <c r="AT83" s="1">
        <v>0</v>
      </c>
      <c r="AU83" s="1">
        <v>0</v>
      </c>
      <c r="AV83" s="1">
        <v>0</v>
      </c>
      <c r="AW83" s="1">
        <v>1</v>
      </c>
      <c r="AX83" s="1">
        <v>0</v>
      </c>
      <c r="AY83" s="1">
        <v>0</v>
      </c>
      <c r="AZ83" s="1">
        <v>0</v>
      </c>
      <c r="BA83" s="1">
        <v>0</v>
      </c>
      <c r="BB83" s="1">
        <v>0</v>
      </c>
      <c r="BC83" s="1">
        <v>0</v>
      </c>
      <c r="BD83" s="1">
        <v>0</v>
      </c>
      <c r="BE83" s="1">
        <v>3</v>
      </c>
      <c r="BF83" s="1">
        <v>0</v>
      </c>
      <c r="BG83" s="1">
        <v>0</v>
      </c>
      <c r="BH83" s="1">
        <v>0</v>
      </c>
      <c r="BI83" s="1">
        <v>2</v>
      </c>
      <c r="BJ83" s="1">
        <v>0</v>
      </c>
      <c r="BK83" s="1">
        <v>2</v>
      </c>
      <c r="BL83" s="1">
        <v>4</v>
      </c>
      <c r="BM83" s="1">
        <v>0</v>
      </c>
      <c r="BN83" s="1">
        <v>0</v>
      </c>
      <c r="BO83" s="1">
        <v>0</v>
      </c>
    </row>
    <row r="84" hidden="1" spans="1:67">
      <c r="A84" s="18">
        <v>43712</v>
      </c>
      <c r="B84" s="18">
        <v>43717</v>
      </c>
      <c r="C84" s="18">
        <v>43744</v>
      </c>
      <c r="D84" s="18">
        <f ca="1" t="shared" ref="D84:I84" si="79">C84</f>
        <v>43744</v>
      </c>
      <c r="E84" s="18">
        <v>43752</v>
      </c>
      <c r="F84" s="18">
        <f ca="1" t="shared" si="79"/>
        <v>43752</v>
      </c>
      <c r="G84" s="18">
        <v>43744</v>
      </c>
      <c r="H84" s="18">
        <v>43757</v>
      </c>
      <c r="I84" s="18">
        <f ca="1" t="shared" si="79"/>
        <v>43757</v>
      </c>
      <c r="J84" s="18">
        <f ca="1" t="shared" si="66"/>
        <v>43757</v>
      </c>
      <c r="L84" s="1">
        <v>34</v>
      </c>
      <c r="M84" s="1">
        <v>127</v>
      </c>
      <c r="N84" s="1">
        <v>37.2</v>
      </c>
      <c r="O84" s="1">
        <v>2784.7</v>
      </c>
      <c r="P84" s="1">
        <v>28</v>
      </c>
      <c r="Q84" s="1">
        <v>0</v>
      </c>
      <c r="R84" s="1">
        <v>0</v>
      </c>
      <c r="S84" s="1">
        <v>0</v>
      </c>
      <c r="T84" s="1">
        <v>6</v>
      </c>
      <c r="U84" s="1" t="s">
        <v>3347</v>
      </c>
      <c r="V84" s="1" t="s">
        <v>3374</v>
      </c>
      <c r="W84" s="1">
        <v>1</v>
      </c>
      <c r="X84" s="1">
        <v>0</v>
      </c>
      <c r="Y84" s="1">
        <v>1</v>
      </c>
      <c r="Z84" s="1">
        <v>0</v>
      </c>
      <c r="AA84" s="1">
        <v>0</v>
      </c>
      <c r="AB84" s="1">
        <v>0</v>
      </c>
      <c r="AC84" s="1">
        <v>1</v>
      </c>
      <c r="AD84" s="1">
        <v>0</v>
      </c>
      <c r="AE84" s="1">
        <v>0</v>
      </c>
      <c r="AF84" s="1">
        <v>0</v>
      </c>
      <c r="AG84" s="1">
        <v>0</v>
      </c>
      <c r="AH84" s="1">
        <v>0</v>
      </c>
      <c r="AI84" s="1">
        <v>0</v>
      </c>
      <c r="AJ84" s="1">
        <v>0</v>
      </c>
      <c r="AK84" s="1">
        <v>0</v>
      </c>
      <c r="AL84" s="1">
        <v>0</v>
      </c>
      <c r="AM84" s="1">
        <v>0</v>
      </c>
      <c r="AN84" s="1">
        <v>0</v>
      </c>
      <c r="AO84" s="1">
        <v>1</v>
      </c>
      <c r="AP84" s="1">
        <v>0</v>
      </c>
      <c r="AQ84" s="1">
        <v>3</v>
      </c>
      <c r="AR84" s="1">
        <v>0</v>
      </c>
      <c r="AS84" s="1">
        <v>0</v>
      </c>
      <c r="AT84" s="1">
        <v>2</v>
      </c>
      <c r="AU84" s="1">
        <v>0</v>
      </c>
      <c r="AV84" s="1">
        <v>0</v>
      </c>
      <c r="AW84" s="1">
        <v>1</v>
      </c>
      <c r="AX84" s="1">
        <v>2</v>
      </c>
      <c r="AY84" s="1">
        <v>2</v>
      </c>
      <c r="AZ84" s="1">
        <v>0</v>
      </c>
      <c r="BA84" s="1">
        <v>0</v>
      </c>
      <c r="BB84" s="1">
        <v>4</v>
      </c>
      <c r="BC84" s="1">
        <v>2</v>
      </c>
      <c r="BD84" s="1">
        <v>0</v>
      </c>
      <c r="BE84" s="1">
        <v>3</v>
      </c>
      <c r="BF84" s="1">
        <v>0</v>
      </c>
      <c r="BG84" s="1">
        <v>0</v>
      </c>
      <c r="BH84" s="1">
        <v>0</v>
      </c>
      <c r="BI84" s="1">
        <v>0</v>
      </c>
      <c r="BJ84" s="1">
        <v>0</v>
      </c>
      <c r="BK84" s="1">
        <v>0</v>
      </c>
      <c r="BL84" s="1">
        <v>0</v>
      </c>
      <c r="BM84" s="1">
        <v>0</v>
      </c>
      <c r="BN84" s="1" t="s">
        <v>3375</v>
      </c>
      <c r="BO84" s="1">
        <v>0</v>
      </c>
    </row>
    <row r="85" hidden="1" spans="1:67">
      <c r="A85" s="18">
        <v>43712</v>
      </c>
      <c r="B85" s="18">
        <v>43717</v>
      </c>
      <c r="C85" s="18">
        <v>43744</v>
      </c>
      <c r="D85" s="18">
        <f ca="1" t="shared" ref="D85:I85" si="80">C85</f>
        <v>43744</v>
      </c>
      <c r="E85" s="18">
        <v>43752</v>
      </c>
      <c r="F85" s="18">
        <f ca="1" t="shared" si="80"/>
        <v>43752</v>
      </c>
      <c r="G85" s="18">
        <v>43744</v>
      </c>
      <c r="H85" s="18">
        <v>43757</v>
      </c>
      <c r="I85" s="18">
        <f ca="1" t="shared" si="80"/>
        <v>43757</v>
      </c>
      <c r="J85" s="18">
        <f ca="1" t="shared" si="66"/>
        <v>43757</v>
      </c>
      <c r="L85" s="1">
        <v>34.9</v>
      </c>
      <c r="M85" s="1" t="s">
        <v>3376</v>
      </c>
      <c r="N85" s="1">
        <v>36.1</v>
      </c>
      <c r="O85" s="1">
        <v>2819.6</v>
      </c>
      <c r="P85" s="1">
        <v>0</v>
      </c>
      <c r="Q85" s="1">
        <v>0</v>
      </c>
      <c r="R85" s="1">
        <v>0</v>
      </c>
      <c r="S85" s="1">
        <v>0</v>
      </c>
      <c r="T85" s="1">
        <v>0</v>
      </c>
      <c r="U85" s="1">
        <v>0</v>
      </c>
      <c r="V85" s="1" t="s">
        <v>3329</v>
      </c>
      <c r="W85" s="1">
        <v>0</v>
      </c>
      <c r="X85" s="1">
        <v>1</v>
      </c>
      <c r="Y85" s="1">
        <v>0</v>
      </c>
      <c r="Z85" s="1">
        <v>1</v>
      </c>
      <c r="AA85" s="1">
        <v>0</v>
      </c>
      <c r="AB85" s="1">
        <v>0</v>
      </c>
      <c r="AC85" s="1">
        <v>0</v>
      </c>
      <c r="AD85" s="1">
        <v>0</v>
      </c>
      <c r="AE85" s="1">
        <v>0</v>
      </c>
      <c r="AF85" s="1">
        <v>0</v>
      </c>
      <c r="AG85" s="1">
        <v>0</v>
      </c>
      <c r="AH85" s="1">
        <v>0</v>
      </c>
      <c r="AI85" s="1">
        <v>0</v>
      </c>
      <c r="AJ85" s="1">
        <v>1</v>
      </c>
      <c r="AK85" s="1">
        <v>0</v>
      </c>
      <c r="AL85" s="1">
        <v>0</v>
      </c>
      <c r="AM85" s="1">
        <v>0</v>
      </c>
      <c r="AN85" s="1">
        <v>0</v>
      </c>
      <c r="AO85" s="1">
        <v>1</v>
      </c>
      <c r="AP85" s="1">
        <v>0</v>
      </c>
      <c r="AQ85" s="1">
        <v>3</v>
      </c>
      <c r="AR85" s="1">
        <v>0</v>
      </c>
      <c r="AS85" s="1">
        <v>0</v>
      </c>
      <c r="AT85" s="1">
        <v>0</v>
      </c>
      <c r="AU85" s="1">
        <v>0</v>
      </c>
      <c r="AV85" s="1">
        <v>0</v>
      </c>
      <c r="AW85" s="1">
        <v>1</v>
      </c>
      <c r="AX85" s="1">
        <v>0</v>
      </c>
      <c r="AY85" s="1">
        <v>0</v>
      </c>
      <c r="AZ85" s="1">
        <v>0</v>
      </c>
      <c r="BA85" s="1">
        <v>0</v>
      </c>
      <c r="BB85" s="1">
        <v>0</v>
      </c>
      <c r="BC85" s="1">
        <v>0</v>
      </c>
      <c r="BD85" s="1">
        <v>0</v>
      </c>
      <c r="BE85" s="1">
        <v>3</v>
      </c>
      <c r="BF85" s="1">
        <v>0</v>
      </c>
      <c r="BG85" s="1">
        <v>0</v>
      </c>
      <c r="BH85" s="1">
        <v>0</v>
      </c>
      <c r="BI85" s="1">
        <v>2</v>
      </c>
      <c r="BJ85" s="1">
        <v>0</v>
      </c>
      <c r="BK85" s="1">
        <v>4</v>
      </c>
      <c r="BL85" s="1">
        <v>4</v>
      </c>
      <c r="BM85" s="1">
        <v>0</v>
      </c>
      <c r="BN85" s="1">
        <v>0</v>
      </c>
      <c r="BO85" s="1">
        <v>0</v>
      </c>
    </row>
    <row r="86" hidden="1" spans="1:67">
      <c r="A86" s="18">
        <v>43713</v>
      </c>
      <c r="B86" s="18">
        <v>43717</v>
      </c>
      <c r="C86" s="18">
        <v>43744</v>
      </c>
      <c r="D86" s="18">
        <f ca="1" t="shared" ref="D86:I86" si="81">C86</f>
        <v>43744</v>
      </c>
      <c r="E86" s="18">
        <v>43752</v>
      </c>
      <c r="F86" s="18">
        <f ca="1" t="shared" si="81"/>
        <v>43752</v>
      </c>
      <c r="G86" s="18">
        <v>43744</v>
      </c>
      <c r="H86" s="18">
        <v>43757</v>
      </c>
      <c r="I86" s="18">
        <f ca="1" t="shared" si="81"/>
        <v>43757</v>
      </c>
      <c r="J86" s="18">
        <f ca="1" t="shared" si="66"/>
        <v>43757</v>
      </c>
      <c r="L86" s="1">
        <v>41.5</v>
      </c>
      <c r="M86" s="1">
        <v>128</v>
      </c>
      <c r="N86" s="1">
        <v>34.1</v>
      </c>
      <c r="O86" s="1">
        <v>2861.1</v>
      </c>
      <c r="P86" s="1">
        <v>0</v>
      </c>
      <c r="Q86" s="1">
        <v>0</v>
      </c>
      <c r="R86" s="1">
        <v>0</v>
      </c>
      <c r="S86" s="1">
        <v>0</v>
      </c>
      <c r="T86" s="1">
        <v>0</v>
      </c>
      <c r="U86" s="1" t="s">
        <v>3324</v>
      </c>
      <c r="V86" s="1" t="s">
        <v>3324</v>
      </c>
      <c r="W86" s="1">
        <v>1</v>
      </c>
      <c r="X86" s="1">
        <v>1</v>
      </c>
      <c r="Y86" s="1">
        <v>0</v>
      </c>
      <c r="Z86" s="1">
        <v>0</v>
      </c>
      <c r="AA86" s="1">
        <v>1</v>
      </c>
      <c r="AB86" s="1">
        <v>0</v>
      </c>
      <c r="AC86" s="1">
        <v>0</v>
      </c>
      <c r="AD86" s="1">
        <v>2</v>
      </c>
      <c r="AE86" s="1">
        <v>0</v>
      </c>
      <c r="AF86" s="1">
        <v>0</v>
      </c>
      <c r="AG86" s="1">
        <v>0</v>
      </c>
      <c r="AH86" s="1">
        <v>0</v>
      </c>
      <c r="AI86" s="1">
        <v>0</v>
      </c>
      <c r="AJ86" s="1">
        <v>0</v>
      </c>
      <c r="AK86" s="1">
        <v>0</v>
      </c>
      <c r="AL86" s="1">
        <v>0</v>
      </c>
      <c r="AM86" s="1">
        <v>1</v>
      </c>
      <c r="AN86" s="1">
        <v>0</v>
      </c>
      <c r="AO86" s="1">
        <v>0</v>
      </c>
      <c r="AP86" s="1">
        <v>0</v>
      </c>
      <c r="AQ86" s="1">
        <v>6</v>
      </c>
      <c r="AR86" s="1">
        <v>6</v>
      </c>
      <c r="AS86" s="1">
        <v>0</v>
      </c>
      <c r="AT86" s="1">
        <v>0</v>
      </c>
      <c r="AU86" s="1">
        <v>6</v>
      </c>
      <c r="AV86" s="1">
        <v>2</v>
      </c>
      <c r="AW86" s="1">
        <v>0</v>
      </c>
      <c r="AX86" s="1">
        <v>0</v>
      </c>
      <c r="AY86" s="1">
        <v>0</v>
      </c>
      <c r="AZ86" s="1">
        <v>0</v>
      </c>
      <c r="BA86" s="1">
        <v>0</v>
      </c>
      <c r="BB86" s="1">
        <v>2</v>
      </c>
      <c r="BC86" s="1">
        <v>6</v>
      </c>
      <c r="BD86" s="1">
        <v>0</v>
      </c>
      <c r="BE86" s="1">
        <v>6</v>
      </c>
      <c r="BF86" s="1">
        <v>0</v>
      </c>
      <c r="BG86" s="1">
        <v>0</v>
      </c>
      <c r="BH86" s="1">
        <v>0</v>
      </c>
      <c r="BI86" s="1">
        <v>0</v>
      </c>
      <c r="BJ86" s="1">
        <v>0</v>
      </c>
      <c r="BK86" s="1">
        <v>0</v>
      </c>
      <c r="BL86" s="1">
        <v>0</v>
      </c>
      <c r="BM86" s="1">
        <v>1.2</v>
      </c>
      <c r="BN86" s="1">
        <v>0</v>
      </c>
      <c r="BO86" s="1">
        <v>0</v>
      </c>
    </row>
    <row r="87" hidden="1" spans="1:67">
      <c r="A87" s="18">
        <v>43713</v>
      </c>
      <c r="B87" s="18">
        <v>43717</v>
      </c>
      <c r="C87" s="18">
        <v>43744</v>
      </c>
      <c r="D87" s="18">
        <f ca="1" t="shared" ref="D87:I87" si="82">C87</f>
        <v>43744</v>
      </c>
      <c r="E87" s="18">
        <v>43752</v>
      </c>
      <c r="F87" s="18">
        <f ca="1" t="shared" si="82"/>
        <v>43752</v>
      </c>
      <c r="G87" s="18">
        <v>43744</v>
      </c>
      <c r="H87" s="18">
        <v>43778</v>
      </c>
      <c r="I87" s="18">
        <f ca="1" t="shared" si="82"/>
        <v>43778</v>
      </c>
      <c r="J87" s="18">
        <f ca="1" t="shared" si="66"/>
        <v>43778</v>
      </c>
      <c r="L87" s="1">
        <v>34</v>
      </c>
      <c r="M87" s="1" t="s">
        <v>3377</v>
      </c>
      <c r="N87" s="1">
        <v>36.1</v>
      </c>
      <c r="O87" s="1">
        <v>2895.1</v>
      </c>
      <c r="P87" s="1">
        <v>0</v>
      </c>
      <c r="Q87" s="1">
        <v>0</v>
      </c>
      <c r="R87" s="1">
        <v>0</v>
      </c>
      <c r="S87" s="1">
        <v>0</v>
      </c>
      <c r="T87" s="1">
        <v>0</v>
      </c>
      <c r="U87" s="1">
        <v>0</v>
      </c>
      <c r="V87" s="1" t="s">
        <v>3329</v>
      </c>
      <c r="W87" s="1">
        <v>0</v>
      </c>
      <c r="X87" s="1">
        <v>1</v>
      </c>
      <c r="Y87" s="1">
        <v>0</v>
      </c>
      <c r="Z87" s="1">
        <v>1</v>
      </c>
      <c r="AA87" s="1">
        <v>0</v>
      </c>
      <c r="AB87" s="1">
        <v>0</v>
      </c>
      <c r="AC87" s="1">
        <v>0</v>
      </c>
      <c r="AD87" s="1">
        <v>0</v>
      </c>
      <c r="AE87" s="1">
        <v>0</v>
      </c>
      <c r="AF87" s="1">
        <v>0</v>
      </c>
      <c r="AG87" s="1">
        <v>0</v>
      </c>
      <c r="AH87" s="1">
        <v>0</v>
      </c>
      <c r="AI87" s="1">
        <v>0</v>
      </c>
      <c r="AJ87" s="1">
        <v>0</v>
      </c>
      <c r="AK87" s="1">
        <v>0</v>
      </c>
      <c r="AL87" s="1">
        <v>0</v>
      </c>
      <c r="AM87" s="1">
        <v>0</v>
      </c>
      <c r="AN87" s="1">
        <v>0</v>
      </c>
      <c r="AO87" s="1">
        <v>1</v>
      </c>
      <c r="AP87" s="1">
        <v>0</v>
      </c>
      <c r="AQ87" s="1">
        <v>3</v>
      </c>
      <c r="AR87" s="1">
        <v>0</v>
      </c>
      <c r="AS87" s="1">
        <v>0</v>
      </c>
      <c r="AT87" s="1">
        <v>0</v>
      </c>
      <c r="AU87" s="1">
        <v>0</v>
      </c>
      <c r="AV87" s="1">
        <v>0</v>
      </c>
      <c r="AW87" s="1">
        <v>1</v>
      </c>
      <c r="AX87" s="1">
        <v>0</v>
      </c>
      <c r="AY87" s="1">
        <v>0</v>
      </c>
      <c r="AZ87" s="1">
        <v>0</v>
      </c>
      <c r="BA87" s="1">
        <v>0</v>
      </c>
      <c r="BB87" s="1">
        <v>0</v>
      </c>
      <c r="BC87" s="1">
        <v>0</v>
      </c>
      <c r="BD87" s="1">
        <v>0</v>
      </c>
      <c r="BE87" s="1">
        <v>3</v>
      </c>
      <c r="BF87" s="1">
        <v>0</v>
      </c>
      <c r="BG87" s="1">
        <v>0</v>
      </c>
      <c r="BH87" s="1">
        <v>0</v>
      </c>
      <c r="BI87" s="1">
        <v>2</v>
      </c>
      <c r="BJ87" s="1">
        <v>0</v>
      </c>
      <c r="BK87" s="1">
        <v>4</v>
      </c>
      <c r="BL87" s="1">
        <v>4</v>
      </c>
      <c r="BM87" s="1">
        <v>0</v>
      </c>
      <c r="BN87" s="1">
        <v>0</v>
      </c>
      <c r="BO87" s="1">
        <v>0</v>
      </c>
    </row>
    <row r="88" hidden="1" spans="1:67">
      <c r="A88" s="18">
        <v>43713</v>
      </c>
      <c r="B88" s="18">
        <v>43717</v>
      </c>
      <c r="C88" s="18">
        <v>43744</v>
      </c>
      <c r="D88" s="18">
        <f ca="1" t="shared" ref="D88:I88" si="83">C88</f>
        <v>43744</v>
      </c>
      <c r="E88" s="18">
        <v>43752</v>
      </c>
      <c r="F88" s="18">
        <f ca="1" t="shared" si="83"/>
        <v>43752</v>
      </c>
      <c r="G88" s="18">
        <v>43744</v>
      </c>
      <c r="H88" s="18">
        <v>43778</v>
      </c>
      <c r="I88" s="18">
        <f ca="1" t="shared" si="83"/>
        <v>43778</v>
      </c>
      <c r="J88" s="18">
        <f ca="1" t="shared" si="66"/>
        <v>43778</v>
      </c>
      <c r="L88" s="1">
        <v>33.3</v>
      </c>
      <c r="M88" s="1">
        <v>129</v>
      </c>
      <c r="N88" s="1">
        <v>35.8</v>
      </c>
      <c r="O88" s="1">
        <v>2928.4</v>
      </c>
      <c r="P88" s="1">
        <v>0</v>
      </c>
      <c r="Q88" s="1">
        <v>0</v>
      </c>
      <c r="R88" s="1">
        <v>0</v>
      </c>
      <c r="S88" s="1">
        <v>0</v>
      </c>
      <c r="T88" s="1">
        <v>0</v>
      </c>
      <c r="U88" s="1" t="s">
        <v>3378</v>
      </c>
      <c r="V88" s="1" t="s">
        <v>3324</v>
      </c>
      <c r="W88" s="1">
        <v>1</v>
      </c>
      <c r="X88" s="1">
        <v>2</v>
      </c>
      <c r="Y88" s="1">
        <v>0</v>
      </c>
      <c r="Z88" s="1">
        <v>0</v>
      </c>
      <c r="AA88" s="1">
        <v>0</v>
      </c>
      <c r="AB88" s="1">
        <v>1</v>
      </c>
      <c r="AC88" s="1">
        <v>0</v>
      </c>
      <c r="AD88" s="1">
        <v>0</v>
      </c>
      <c r="AE88" s="1">
        <v>0</v>
      </c>
      <c r="AF88" s="1">
        <v>0</v>
      </c>
      <c r="AG88" s="1">
        <v>0</v>
      </c>
      <c r="AH88" s="1">
        <v>0</v>
      </c>
      <c r="AI88" s="1">
        <v>0</v>
      </c>
      <c r="AJ88" s="1">
        <v>0</v>
      </c>
      <c r="AK88" s="1">
        <v>1</v>
      </c>
      <c r="AL88" s="1">
        <v>0</v>
      </c>
      <c r="AM88" s="1">
        <v>1</v>
      </c>
      <c r="AN88" s="1">
        <v>1</v>
      </c>
      <c r="AO88" s="1">
        <v>0</v>
      </c>
      <c r="AP88" s="1">
        <v>0</v>
      </c>
      <c r="AQ88" s="1">
        <v>6</v>
      </c>
      <c r="AR88" s="1">
        <v>6</v>
      </c>
      <c r="AS88" s="1">
        <v>0</v>
      </c>
      <c r="AT88" s="1">
        <v>0</v>
      </c>
      <c r="AU88" s="1">
        <v>6</v>
      </c>
      <c r="AV88" s="1">
        <v>2</v>
      </c>
      <c r="AW88" s="1">
        <v>0</v>
      </c>
      <c r="AX88" s="1">
        <v>0</v>
      </c>
      <c r="AY88" s="1">
        <v>0</v>
      </c>
      <c r="AZ88" s="1">
        <v>0</v>
      </c>
      <c r="BA88" s="1">
        <v>0</v>
      </c>
      <c r="BB88" s="1">
        <v>0</v>
      </c>
      <c r="BC88" s="1">
        <v>0</v>
      </c>
      <c r="BD88" s="1">
        <v>0</v>
      </c>
      <c r="BE88" s="1">
        <v>6</v>
      </c>
      <c r="BF88" s="1">
        <v>0</v>
      </c>
      <c r="BG88" s="1">
        <v>0</v>
      </c>
      <c r="BH88" s="1">
        <v>0</v>
      </c>
      <c r="BI88" s="1">
        <v>0</v>
      </c>
      <c r="BJ88" s="1">
        <v>0</v>
      </c>
      <c r="BK88" s="1">
        <v>0</v>
      </c>
      <c r="BL88" s="1">
        <v>4</v>
      </c>
      <c r="BM88" s="1">
        <v>0</v>
      </c>
      <c r="BN88" s="1">
        <v>0</v>
      </c>
      <c r="BO88" s="1">
        <v>0</v>
      </c>
    </row>
    <row r="89" hidden="1" spans="1:67">
      <c r="A89" s="18">
        <v>43713</v>
      </c>
      <c r="B89" s="18">
        <v>43717</v>
      </c>
      <c r="C89" s="18">
        <v>43744</v>
      </c>
      <c r="D89" s="18">
        <f ca="1" t="shared" ref="D89:I89" si="84">C89</f>
        <v>43744</v>
      </c>
      <c r="E89" s="18">
        <v>43752</v>
      </c>
      <c r="F89" s="18">
        <f ca="1" t="shared" si="84"/>
        <v>43752</v>
      </c>
      <c r="G89" s="18">
        <v>43744</v>
      </c>
      <c r="H89" s="18">
        <v>43778</v>
      </c>
      <c r="I89" s="18">
        <f ca="1" t="shared" si="84"/>
        <v>43778</v>
      </c>
      <c r="J89" s="18">
        <f ca="1" t="shared" si="66"/>
        <v>43778</v>
      </c>
      <c r="L89" s="1">
        <v>37</v>
      </c>
      <c r="M89" s="1" t="s">
        <v>3379</v>
      </c>
      <c r="N89" s="1">
        <v>36.2</v>
      </c>
      <c r="O89" s="1">
        <v>2965.4</v>
      </c>
      <c r="P89" s="1">
        <v>0</v>
      </c>
      <c r="Q89" s="1">
        <v>0</v>
      </c>
      <c r="R89" s="1">
        <v>0</v>
      </c>
      <c r="S89" s="1">
        <v>0</v>
      </c>
      <c r="T89" s="1">
        <v>0</v>
      </c>
      <c r="U89" s="1">
        <v>0</v>
      </c>
      <c r="V89" s="1" t="s">
        <v>3329</v>
      </c>
      <c r="W89" s="1">
        <v>0</v>
      </c>
      <c r="X89" s="1">
        <v>1</v>
      </c>
      <c r="Y89" s="1">
        <v>0</v>
      </c>
      <c r="Z89" s="1">
        <v>0</v>
      </c>
      <c r="AA89" s="1">
        <v>1</v>
      </c>
      <c r="AB89" s="1">
        <v>0</v>
      </c>
      <c r="AC89" s="1">
        <v>0</v>
      </c>
      <c r="AD89" s="1">
        <v>0</v>
      </c>
      <c r="AE89" s="1">
        <v>0</v>
      </c>
      <c r="AF89" s="1">
        <v>0</v>
      </c>
      <c r="AG89" s="1">
        <v>0</v>
      </c>
      <c r="AH89" s="1">
        <v>0</v>
      </c>
      <c r="AI89" s="1">
        <v>0</v>
      </c>
      <c r="AJ89" s="1">
        <v>0</v>
      </c>
      <c r="AK89" s="1">
        <v>0</v>
      </c>
      <c r="AL89" s="1">
        <v>0</v>
      </c>
      <c r="AM89" s="1">
        <v>0</v>
      </c>
      <c r="AN89" s="1">
        <v>0</v>
      </c>
      <c r="AO89" s="1">
        <v>1</v>
      </c>
      <c r="AP89" s="1">
        <v>0</v>
      </c>
      <c r="AQ89" s="1">
        <v>3</v>
      </c>
      <c r="AR89" s="1">
        <v>0</v>
      </c>
      <c r="AS89" s="1">
        <v>0</v>
      </c>
      <c r="AT89" s="1">
        <v>0</v>
      </c>
      <c r="AU89" s="1">
        <v>0</v>
      </c>
      <c r="AV89" s="1">
        <v>0</v>
      </c>
      <c r="AW89" s="1">
        <v>1</v>
      </c>
      <c r="AX89" s="1">
        <v>0</v>
      </c>
      <c r="AY89" s="1">
        <v>0</v>
      </c>
      <c r="AZ89" s="1">
        <v>0</v>
      </c>
      <c r="BA89" s="1">
        <v>0</v>
      </c>
      <c r="BB89" s="1">
        <v>0</v>
      </c>
      <c r="BC89" s="1">
        <v>0</v>
      </c>
      <c r="BD89" s="1">
        <v>0</v>
      </c>
      <c r="BE89" s="1">
        <v>3</v>
      </c>
      <c r="BF89" s="1">
        <v>0</v>
      </c>
      <c r="BG89" s="1">
        <v>0</v>
      </c>
      <c r="BH89" s="1">
        <v>0</v>
      </c>
      <c r="BI89" s="1">
        <v>2</v>
      </c>
      <c r="BJ89" s="1">
        <v>0</v>
      </c>
      <c r="BK89" s="1">
        <v>3</v>
      </c>
      <c r="BL89" s="1">
        <v>4</v>
      </c>
      <c r="BM89" s="1">
        <v>0</v>
      </c>
      <c r="BN89" s="1">
        <v>0</v>
      </c>
      <c r="BO89" s="1">
        <v>0</v>
      </c>
    </row>
    <row r="90" hidden="1" spans="1:67">
      <c r="A90" s="18">
        <v>43713</v>
      </c>
      <c r="B90" s="18">
        <v>43717</v>
      </c>
      <c r="C90" s="18">
        <v>43744</v>
      </c>
      <c r="D90" s="18">
        <f ca="1" t="shared" ref="D90:I90" si="85">C90</f>
        <v>43744</v>
      </c>
      <c r="E90" s="18">
        <v>43752</v>
      </c>
      <c r="F90" s="18">
        <f ca="1" t="shared" si="85"/>
        <v>43752</v>
      </c>
      <c r="G90" s="18">
        <v>43778</v>
      </c>
      <c r="H90" s="18">
        <v>43778</v>
      </c>
      <c r="I90" s="18">
        <f ca="1" t="shared" si="85"/>
        <v>43778</v>
      </c>
      <c r="J90" s="18">
        <f ca="1" t="shared" si="66"/>
        <v>43778</v>
      </c>
      <c r="L90" s="1">
        <v>37.4</v>
      </c>
      <c r="M90" s="1">
        <v>130</v>
      </c>
      <c r="N90" s="1">
        <v>35.2</v>
      </c>
      <c r="O90" s="1">
        <v>3002.8</v>
      </c>
      <c r="P90" s="1">
        <v>0</v>
      </c>
      <c r="Q90" s="1">
        <v>0</v>
      </c>
      <c r="R90" s="1">
        <v>0</v>
      </c>
      <c r="S90" s="1">
        <v>0</v>
      </c>
      <c r="T90" s="1">
        <v>0</v>
      </c>
      <c r="U90" s="1" t="s">
        <v>3329</v>
      </c>
      <c r="V90" s="1" t="s">
        <v>3329</v>
      </c>
      <c r="W90" s="1">
        <v>1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0</v>
      </c>
      <c r="AD90" s="1">
        <v>0</v>
      </c>
      <c r="AE90" s="1">
        <v>0</v>
      </c>
      <c r="AF90" s="1">
        <v>0</v>
      </c>
      <c r="AG90" s="1">
        <v>0</v>
      </c>
      <c r="AH90" s="1">
        <v>0</v>
      </c>
      <c r="AI90" s="1">
        <v>0</v>
      </c>
      <c r="AJ90" s="1">
        <v>0</v>
      </c>
      <c r="AK90" s="1">
        <v>0</v>
      </c>
      <c r="AL90" s="1">
        <v>0</v>
      </c>
      <c r="AM90" s="1">
        <v>0</v>
      </c>
      <c r="AN90" s="1">
        <v>0</v>
      </c>
      <c r="AO90" s="1">
        <v>1</v>
      </c>
      <c r="AP90" s="1">
        <v>0</v>
      </c>
      <c r="AQ90" s="1">
        <v>3</v>
      </c>
      <c r="AR90" s="1">
        <v>0</v>
      </c>
      <c r="AS90" s="1">
        <v>0</v>
      </c>
      <c r="AT90" s="1">
        <v>0</v>
      </c>
      <c r="AU90" s="1">
        <v>0</v>
      </c>
      <c r="AV90" s="1">
        <v>0</v>
      </c>
      <c r="AW90" s="1">
        <v>1</v>
      </c>
      <c r="AX90" s="1">
        <v>0</v>
      </c>
      <c r="AY90" s="1">
        <v>0</v>
      </c>
      <c r="AZ90" s="1">
        <v>0</v>
      </c>
      <c r="BA90" s="1">
        <v>0</v>
      </c>
      <c r="BB90" s="1">
        <v>0</v>
      </c>
      <c r="BC90" s="1">
        <v>0</v>
      </c>
      <c r="BD90" s="1">
        <v>0</v>
      </c>
      <c r="BE90" s="1">
        <v>3</v>
      </c>
      <c r="BF90" s="1">
        <v>0</v>
      </c>
      <c r="BG90" s="1">
        <v>0</v>
      </c>
      <c r="BH90" s="1">
        <v>0</v>
      </c>
      <c r="BI90" s="1">
        <v>0</v>
      </c>
      <c r="BJ90" s="1">
        <v>0</v>
      </c>
      <c r="BK90" s="1">
        <v>0</v>
      </c>
      <c r="BL90" s="1">
        <v>0</v>
      </c>
      <c r="BM90" s="1">
        <v>0</v>
      </c>
      <c r="BN90" s="1">
        <v>0</v>
      </c>
      <c r="BO90" s="1">
        <v>0</v>
      </c>
    </row>
    <row r="91" hidden="1" spans="1:67">
      <c r="A91" s="18">
        <v>43713</v>
      </c>
      <c r="B91" s="18">
        <v>43717</v>
      </c>
      <c r="C91" s="18">
        <v>43744</v>
      </c>
      <c r="D91" s="18">
        <f ca="1" t="shared" ref="D91:I91" si="86">C91</f>
        <v>43744</v>
      </c>
      <c r="E91" s="18">
        <v>43752</v>
      </c>
      <c r="F91" s="18">
        <f ca="1" t="shared" si="86"/>
        <v>43752</v>
      </c>
      <c r="G91" s="18">
        <v>43744</v>
      </c>
      <c r="H91" s="18">
        <v>43778</v>
      </c>
      <c r="I91" s="18">
        <f ca="1" t="shared" si="86"/>
        <v>43778</v>
      </c>
      <c r="J91" s="18">
        <f ca="1" t="shared" si="66"/>
        <v>43778</v>
      </c>
      <c r="L91" s="1">
        <v>33</v>
      </c>
      <c r="M91" s="1" t="s">
        <v>3380</v>
      </c>
      <c r="N91" s="1">
        <v>41.6</v>
      </c>
      <c r="O91" s="1">
        <v>3035.8</v>
      </c>
      <c r="P91" s="1">
        <v>0</v>
      </c>
      <c r="Q91" s="1">
        <v>0</v>
      </c>
      <c r="R91" s="1">
        <v>0</v>
      </c>
      <c r="S91" s="1">
        <v>0</v>
      </c>
      <c r="T91" s="1">
        <v>0</v>
      </c>
      <c r="U91" s="1">
        <v>0</v>
      </c>
      <c r="V91" s="1" t="s">
        <v>3329</v>
      </c>
      <c r="W91" s="1">
        <v>0</v>
      </c>
      <c r="X91" s="1">
        <v>1</v>
      </c>
      <c r="Y91" s="1">
        <v>0</v>
      </c>
      <c r="Z91" s="1">
        <v>0</v>
      </c>
      <c r="AA91" s="1">
        <v>1</v>
      </c>
      <c r="AB91" s="1">
        <v>0</v>
      </c>
      <c r="AC91" s="1">
        <v>0</v>
      </c>
      <c r="AD91" s="1">
        <v>0</v>
      </c>
      <c r="AE91" s="1">
        <v>0</v>
      </c>
      <c r="AF91" s="1">
        <v>0</v>
      </c>
      <c r="AG91" s="1">
        <v>0</v>
      </c>
      <c r="AH91" s="1">
        <v>0</v>
      </c>
      <c r="AI91" s="1">
        <v>0</v>
      </c>
      <c r="AJ91" s="1">
        <v>1</v>
      </c>
      <c r="AK91" s="1">
        <v>0</v>
      </c>
      <c r="AL91" s="1">
        <v>0</v>
      </c>
      <c r="AM91" s="1">
        <v>0</v>
      </c>
      <c r="AN91" s="1">
        <v>0</v>
      </c>
      <c r="AO91" s="1">
        <v>1</v>
      </c>
      <c r="AP91" s="1">
        <v>0</v>
      </c>
      <c r="AQ91" s="1">
        <v>3</v>
      </c>
      <c r="AR91" s="1">
        <v>0</v>
      </c>
      <c r="AS91" s="1">
        <v>0</v>
      </c>
      <c r="AT91" s="1">
        <v>0</v>
      </c>
      <c r="AU91" s="1">
        <v>0</v>
      </c>
      <c r="AV91" s="1">
        <v>0</v>
      </c>
      <c r="AW91" s="1">
        <v>1</v>
      </c>
      <c r="AX91" s="1">
        <v>0</v>
      </c>
      <c r="AY91" s="1">
        <v>0</v>
      </c>
      <c r="AZ91" s="1">
        <v>0</v>
      </c>
      <c r="BA91" s="1">
        <v>0</v>
      </c>
      <c r="BB91" s="1">
        <v>0</v>
      </c>
      <c r="BC91" s="1">
        <v>0</v>
      </c>
      <c r="BD91" s="1">
        <v>0</v>
      </c>
      <c r="BE91" s="1">
        <v>3</v>
      </c>
      <c r="BF91" s="1">
        <v>0</v>
      </c>
      <c r="BG91" s="1">
        <v>0</v>
      </c>
      <c r="BH91" s="1">
        <v>0</v>
      </c>
      <c r="BI91" s="1">
        <v>2</v>
      </c>
      <c r="BJ91" s="1">
        <v>0</v>
      </c>
      <c r="BK91" s="1">
        <v>4</v>
      </c>
      <c r="BL91" s="1">
        <v>4</v>
      </c>
      <c r="BM91" s="1">
        <v>0</v>
      </c>
      <c r="BN91" s="1">
        <v>0</v>
      </c>
      <c r="BO91" s="1">
        <v>0</v>
      </c>
    </row>
    <row r="92" hidden="1" spans="1:67">
      <c r="A92" s="18">
        <v>43713</v>
      </c>
      <c r="B92" s="18">
        <v>43717</v>
      </c>
      <c r="C92" s="18">
        <v>43744</v>
      </c>
      <c r="D92" s="18">
        <f ca="1" t="shared" ref="D92:I92" si="87">C92</f>
        <v>43744</v>
      </c>
      <c r="E92" s="18">
        <v>43752</v>
      </c>
      <c r="F92" s="18">
        <f ca="1" t="shared" si="87"/>
        <v>43752</v>
      </c>
      <c r="G92" s="18">
        <v>43778</v>
      </c>
      <c r="H92" s="18">
        <v>43778</v>
      </c>
      <c r="I92" s="18">
        <f ca="1" t="shared" si="87"/>
        <v>43778</v>
      </c>
      <c r="J92" s="18">
        <f ca="1" t="shared" si="66"/>
        <v>43778</v>
      </c>
      <c r="L92" s="1">
        <v>33.5</v>
      </c>
      <c r="M92" s="1">
        <v>131</v>
      </c>
      <c r="N92" s="1">
        <v>28.4</v>
      </c>
      <c r="O92" s="1">
        <v>3069.3</v>
      </c>
      <c r="P92" s="1">
        <v>0</v>
      </c>
      <c r="Q92" s="1">
        <v>0</v>
      </c>
      <c r="R92" s="1">
        <v>0</v>
      </c>
      <c r="S92" s="1">
        <v>0</v>
      </c>
      <c r="T92" s="1">
        <v>0</v>
      </c>
      <c r="U92" s="1" t="s">
        <v>3329</v>
      </c>
      <c r="V92" s="1" t="s">
        <v>3329</v>
      </c>
      <c r="W92" s="1">
        <v>1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0</v>
      </c>
      <c r="AD92" s="1">
        <v>0</v>
      </c>
      <c r="AE92" s="1">
        <v>0</v>
      </c>
      <c r="AF92" s="1">
        <v>0</v>
      </c>
      <c r="AG92" s="1">
        <v>0</v>
      </c>
      <c r="AH92" s="1">
        <v>0</v>
      </c>
      <c r="AI92" s="1">
        <v>0</v>
      </c>
      <c r="AJ92" s="1">
        <v>0</v>
      </c>
      <c r="AK92" s="1">
        <v>0</v>
      </c>
      <c r="AL92" s="1">
        <v>0</v>
      </c>
      <c r="AM92" s="1">
        <v>0</v>
      </c>
      <c r="AN92" s="1">
        <v>0</v>
      </c>
      <c r="AO92" s="1">
        <v>1</v>
      </c>
      <c r="AP92" s="1">
        <v>0</v>
      </c>
      <c r="AQ92" s="1">
        <v>3</v>
      </c>
      <c r="AR92" s="1">
        <v>0</v>
      </c>
      <c r="AS92" s="1">
        <v>0</v>
      </c>
      <c r="AT92" s="1">
        <v>0</v>
      </c>
      <c r="AU92" s="1">
        <v>0</v>
      </c>
      <c r="AV92" s="1">
        <v>0</v>
      </c>
      <c r="AW92" s="1">
        <v>1</v>
      </c>
      <c r="AX92" s="1">
        <v>0</v>
      </c>
      <c r="AY92" s="1">
        <v>0</v>
      </c>
      <c r="AZ92" s="1">
        <v>0</v>
      </c>
      <c r="BA92" s="1">
        <v>0</v>
      </c>
      <c r="BB92" s="1">
        <v>0</v>
      </c>
      <c r="BC92" s="1">
        <v>0</v>
      </c>
      <c r="BD92" s="1">
        <v>0</v>
      </c>
      <c r="BE92" s="1">
        <v>3</v>
      </c>
      <c r="BF92" s="1">
        <v>0</v>
      </c>
      <c r="BG92" s="1">
        <v>0</v>
      </c>
      <c r="BH92" s="1">
        <v>0</v>
      </c>
      <c r="BI92" s="1">
        <v>0</v>
      </c>
      <c r="BJ92" s="1">
        <v>0</v>
      </c>
      <c r="BK92" s="1">
        <v>0</v>
      </c>
      <c r="BL92" s="1">
        <v>0</v>
      </c>
      <c r="BM92" s="1">
        <v>0</v>
      </c>
      <c r="BN92" s="1">
        <v>0</v>
      </c>
      <c r="BO92" s="1">
        <v>0</v>
      </c>
    </row>
    <row r="93" hidden="1" spans="1:67">
      <c r="A93" s="18">
        <v>43713</v>
      </c>
      <c r="B93" s="18">
        <v>43717</v>
      </c>
      <c r="C93" s="18">
        <v>43744</v>
      </c>
      <c r="D93" s="18">
        <f ca="1" t="shared" ref="D93:I93" si="88">C93</f>
        <v>43744</v>
      </c>
      <c r="E93" s="18">
        <v>43752</v>
      </c>
      <c r="F93" s="18">
        <f ca="1" t="shared" si="88"/>
        <v>43752</v>
      </c>
      <c r="G93" s="18">
        <v>43744</v>
      </c>
      <c r="H93" s="18">
        <v>43778</v>
      </c>
      <c r="I93" s="18">
        <f ca="1" t="shared" si="88"/>
        <v>43778</v>
      </c>
      <c r="J93" s="18">
        <f ca="1" t="shared" si="66"/>
        <v>43778</v>
      </c>
      <c r="L93" s="1">
        <v>34</v>
      </c>
      <c r="M93" s="1" t="s">
        <v>3381</v>
      </c>
      <c r="N93" s="1">
        <v>39.5</v>
      </c>
      <c r="O93" s="1">
        <v>3103.3</v>
      </c>
      <c r="P93" s="1">
        <v>0</v>
      </c>
      <c r="Q93" s="1">
        <v>0</v>
      </c>
      <c r="R93" s="1">
        <v>0</v>
      </c>
      <c r="S93" s="1">
        <v>0</v>
      </c>
      <c r="T93" s="1">
        <v>0</v>
      </c>
      <c r="U93" s="1">
        <v>0</v>
      </c>
      <c r="V93" s="1" t="s">
        <v>3329</v>
      </c>
      <c r="W93" s="1">
        <v>0</v>
      </c>
      <c r="X93" s="1">
        <v>1</v>
      </c>
      <c r="Y93" s="1">
        <v>0</v>
      </c>
      <c r="Z93" s="1">
        <v>1</v>
      </c>
      <c r="AA93" s="1">
        <v>0</v>
      </c>
      <c r="AB93" s="1">
        <v>0</v>
      </c>
      <c r="AC93" s="1">
        <v>0</v>
      </c>
      <c r="AD93" s="1">
        <v>0</v>
      </c>
      <c r="AE93" s="1">
        <v>0</v>
      </c>
      <c r="AF93" s="1">
        <v>0</v>
      </c>
      <c r="AG93" s="1">
        <v>0</v>
      </c>
      <c r="AH93" s="1">
        <v>0</v>
      </c>
      <c r="AI93" s="1">
        <v>0</v>
      </c>
      <c r="AJ93" s="1">
        <v>0</v>
      </c>
      <c r="AK93" s="1">
        <v>0</v>
      </c>
      <c r="AL93" s="1">
        <v>0</v>
      </c>
      <c r="AM93" s="1">
        <v>0</v>
      </c>
      <c r="AN93" s="1">
        <v>0</v>
      </c>
      <c r="AO93" s="1">
        <v>1</v>
      </c>
      <c r="AP93" s="1">
        <v>0</v>
      </c>
      <c r="AQ93" s="1">
        <v>3</v>
      </c>
      <c r="AR93" s="1">
        <v>0</v>
      </c>
      <c r="AS93" s="1">
        <v>0</v>
      </c>
      <c r="AT93" s="1">
        <v>0</v>
      </c>
      <c r="AU93" s="1">
        <v>0</v>
      </c>
      <c r="AV93" s="1">
        <v>0</v>
      </c>
      <c r="AW93" s="1">
        <v>1</v>
      </c>
      <c r="AX93" s="1">
        <v>0</v>
      </c>
      <c r="AY93" s="1">
        <v>0</v>
      </c>
      <c r="AZ93" s="1">
        <v>0</v>
      </c>
      <c r="BA93" s="1">
        <v>0</v>
      </c>
      <c r="BB93" s="1">
        <v>0</v>
      </c>
      <c r="BC93" s="1">
        <v>0</v>
      </c>
      <c r="BD93" s="1">
        <v>0</v>
      </c>
      <c r="BE93" s="1">
        <v>3</v>
      </c>
      <c r="BF93" s="1">
        <v>0</v>
      </c>
      <c r="BG93" s="1">
        <v>0</v>
      </c>
      <c r="BH93" s="1">
        <v>0</v>
      </c>
      <c r="BI93" s="1">
        <v>2</v>
      </c>
      <c r="BJ93" s="1">
        <v>0</v>
      </c>
      <c r="BK93" s="1">
        <v>8</v>
      </c>
      <c r="BL93" s="1">
        <v>8</v>
      </c>
      <c r="BM93" s="1">
        <v>0</v>
      </c>
      <c r="BN93" s="1">
        <v>0</v>
      </c>
      <c r="BO93" s="1">
        <v>0</v>
      </c>
    </row>
    <row r="94" hidden="1" spans="1:67">
      <c r="A94" s="18">
        <v>43713</v>
      </c>
      <c r="B94" s="18">
        <v>43717</v>
      </c>
      <c r="C94" s="18">
        <v>43744</v>
      </c>
      <c r="D94" s="18">
        <f ca="1" t="shared" ref="D94:I94" si="89">C94</f>
        <v>43744</v>
      </c>
      <c r="E94" s="18">
        <v>43752</v>
      </c>
      <c r="F94" s="18">
        <f ca="1" t="shared" si="89"/>
        <v>43752</v>
      </c>
      <c r="G94" s="18">
        <v>43778</v>
      </c>
      <c r="H94" s="18">
        <v>43778</v>
      </c>
      <c r="I94" s="18">
        <f ca="1" t="shared" si="89"/>
        <v>43778</v>
      </c>
      <c r="J94" s="18">
        <f ca="1" t="shared" si="66"/>
        <v>43778</v>
      </c>
      <c r="L94" s="1">
        <v>34.2</v>
      </c>
      <c r="M94" s="1">
        <v>132</v>
      </c>
      <c r="N94" s="1">
        <v>30.3</v>
      </c>
      <c r="O94" s="1">
        <v>3137.5</v>
      </c>
      <c r="P94" s="1">
        <v>0</v>
      </c>
      <c r="Q94" s="1">
        <v>0</v>
      </c>
      <c r="R94" s="1">
        <v>0</v>
      </c>
      <c r="S94" s="1">
        <v>0</v>
      </c>
      <c r="T94" s="1">
        <v>0</v>
      </c>
      <c r="U94" s="1" t="s">
        <v>3329</v>
      </c>
      <c r="V94" s="1" t="s">
        <v>3329</v>
      </c>
      <c r="W94" s="1">
        <v>1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0</v>
      </c>
      <c r="AD94" s="1">
        <v>0</v>
      </c>
      <c r="AE94" s="1">
        <v>0</v>
      </c>
      <c r="AF94" s="1">
        <v>0</v>
      </c>
      <c r="AG94" s="1">
        <v>0</v>
      </c>
      <c r="AH94" s="1">
        <v>0</v>
      </c>
      <c r="AI94" s="1">
        <v>0</v>
      </c>
      <c r="AJ94" s="1">
        <v>0</v>
      </c>
      <c r="AK94" s="1">
        <v>0</v>
      </c>
      <c r="AL94" s="1">
        <v>0</v>
      </c>
      <c r="AM94" s="1">
        <v>0</v>
      </c>
      <c r="AN94" s="1">
        <v>0</v>
      </c>
      <c r="AO94" s="1">
        <v>1</v>
      </c>
      <c r="AP94" s="1">
        <v>0</v>
      </c>
      <c r="AQ94" s="1">
        <v>3</v>
      </c>
      <c r="AR94" s="1">
        <v>0</v>
      </c>
      <c r="AS94" s="1">
        <v>0</v>
      </c>
      <c r="AT94" s="1">
        <v>0</v>
      </c>
      <c r="AU94" s="1">
        <v>0</v>
      </c>
      <c r="AV94" s="1">
        <v>0</v>
      </c>
      <c r="AW94" s="1">
        <v>1</v>
      </c>
      <c r="AX94" s="1">
        <v>0</v>
      </c>
      <c r="AY94" s="1">
        <v>0</v>
      </c>
      <c r="AZ94" s="1">
        <v>0</v>
      </c>
      <c r="BA94" s="1">
        <v>0</v>
      </c>
      <c r="BB94" s="1">
        <v>0</v>
      </c>
      <c r="BC94" s="1">
        <v>0</v>
      </c>
      <c r="BD94" s="1">
        <v>0</v>
      </c>
      <c r="BE94" s="1">
        <v>3</v>
      </c>
      <c r="BF94" s="1">
        <v>0</v>
      </c>
      <c r="BG94" s="1">
        <v>0</v>
      </c>
      <c r="BH94" s="1">
        <v>0</v>
      </c>
      <c r="BI94" s="1">
        <v>0</v>
      </c>
      <c r="BJ94" s="1">
        <v>0</v>
      </c>
      <c r="BK94" s="1">
        <v>0</v>
      </c>
      <c r="BL94" s="1">
        <v>0</v>
      </c>
      <c r="BM94" s="1">
        <v>0</v>
      </c>
      <c r="BN94" s="1">
        <v>0</v>
      </c>
      <c r="BO94" s="1">
        <v>0</v>
      </c>
    </row>
    <row r="95" hidden="1" spans="1:67">
      <c r="A95" s="18">
        <v>43713</v>
      </c>
      <c r="B95" s="18">
        <v>43717</v>
      </c>
      <c r="C95" s="18">
        <v>43744</v>
      </c>
      <c r="D95" s="18">
        <f ca="1" t="shared" ref="D95:I95" si="90">C95</f>
        <v>43744</v>
      </c>
      <c r="E95" s="18">
        <v>43752</v>
      </c>
      <c r="F95" s="18">
        <f ca="1" t="shared" si="90"/>
        <v>43752</v>
      </c>
      <c r="G95" s="18">
        <v>43778</v>
      </c>
      <c r="H95" s="18">
        <v>43778</v>
      </c>
      <c r="I95" s="18">
        <f ca="1" t="shared" si="90"/>
        <v>43778</v>
      </c>
      <c r="J95" s="18">
        <f ca="1" t="shared" si="66"/>
        <v>43778</v>
      </c>
      <c r="L95" s="1">
        <v>38.2</v>
      </c>
      <c r="M95" s="1" t="s">
        <v>3382</v>
      </c>
      <c r="N95" s="1">
        <v>39.6</v>
      </c>
      <c r="O95" s="1">
        <v>3175.7</v>
      </c>
      <c r="P95" s="1">
        <v>3</v>
      </c>
      <c r="Q95" s="1">
        <v>1</v>
      </c>
      <c r="R95" s="1">
        <v>0</v>
      </c>
      <c r="S95" s="1">
        <v>0</v>
      </c>
      <c r="T95" s="1">
        <v>0</v>
      </c>
      <c r="U95" s="1" t="s">
        <v>3347</v>
      </c>
      <c r="V95" s="1" t="s">
        <v>3347</v>
      </c>
      <c r="W95" s="1">
        <v>1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0</v>
      </c>
      <c r="AD95" s="1">
        <v>0</v>
      </c>
      <c r="AE95" s="1">
        <v>0</v>
      </c>
      <c r="AF95" s="1">
        <v>0</v>
      </c>
      <c r="AG95" s="1">
        <v>0</v>
      </c>
      <c r="AH95" s="1">
        <v>0</v>
      </c>
      <c r="AI95" s="1">
        <v>0</v>
      </c>
      <c r="AJ95" s="1">
        <v>0</v>
      </c>
      <c r="AK95" s="1">
        <v>0</v>
      </c>
      <c r="AL95" s="1">
        <v>0</v>
      </c>
      <c r="AM95" s="1">
        <v>0</v>
      </c>
      <c r="AN95" s="1">
        <v>0</v>
      </c>
      <c r="AO95" s="1">
        <v>1</v>
      </c>
      <c r="AP95" s="1">
        <v>0</v>
      </c>
      <c r="AQ95" s="1">
        <v>3</v>
      </c>
      <c r="AR95" s="1">
        <v>0</v>
      </c>
      <c r="AS95" s="1">
        <v>0</v>
      </c>
      <c r="AT95" s="1">
        <v>1</v>
      </c>
      <c r="AU95" s="1">
        <v>0</v>
      </c>
      <c r="AV95" s="1">
        <v>0</v>
      </c>
      <c r="AW95" s="1">
        <v>1</v>
      </c>
      <c r="AX95" s="1">
        <v>0</v>
      </c>
      <c r="AY95" s="1">
        <v>0</v>
      </c>
      <c r="AZ95" s="1">
        <v>0</v>
      </c>
      <c r="BA95" s="1">
        <v>2</v>
      </c>
      <c r="BB95" s="1">
        <v>0</v>
      </c>
      <c r="BC95" s="1">
        <v>2</v>
      </c>
      <c r="BD95" s="1">
        <v>0</v>
      </c>
      <c r="BE95" s="1">
        <v>3</v>
      </c>
      <c r="BF95" s="1">
        <v>0</v>
      </c>
      <c r="BG95" s="1">
        <v>0</v>
      </c>
      <c r="BH95" s="1">
        <v>0</v>
      </c>
      <c r="BI95" s="1">
        <v>0</v>
      </c>
      <c r="BJ95" s="1">
        <v>0</v>
      </c>
      <c r="BK95" s="1">
        <v>0</v>
      </c>
      <c r="BL95" s="1">
        <v>0</v>
      </c>
      <c r="BM95" s="1">
        <v>0</v>
      </c>
      <c r="BN95" s="1" t="s">
        <v>3348</v>
      </c>
      <c r="BO95" s="1">
        <v>0</v>
      </c>
    </row>
    <row r="96" hidden="1" spans="1:67">
      <c r="A96" s="18">
        <v>43713</v>
      </c>
      <c r="B96" s="18">
        <v>43717</v>
      </c>
      <c r="C96" s="18">
        <v>43744</v>
      </c>
      <c r="D96" s="18">
        <f ca="1" t="shared" ref="D96:I96" si="91">C96</f>
        <v>43744</v>
      </c>
      <c r="E96" s="18">
        <v>43752</v>
      </c>
      <c r="F96" s="18">
        <f ca="1" t="shared" si="91"/>
        <v>43752</v>
      </c>
      <c r="G96" s="18">
        <v>43778</v>
      </c>
      <c r="H96" s="18">
        <v>43778</v>
      </c>
      <c r="I96" s="18">
        <f ca="1" t="shared" si="91"/>
        <v>43778</v>
      </c>
      <c r="J96" s="18">
        <f ca="1" t="shared" si="66"/>
        <v>43778</v>
      </c>
      <c r="L96" s="1">
        <v>12</v>
      </c>
      <c r="M96" s="1" t="s">
        <v>3383</v>
      </c>
      <c r="N96" s="1">
        <v>11</v>
      </c>
      <c r="O96" s="1">
        <v>3187.7</v>
      </c>
      <c r="P96" s="1">
        <v>9</v>
      </c>
      <c r="Q96" s="1">
        <v>3</v>
      </c>
      <c r="R96" s="1">
        <v>0</v>
      </c>
      <c r="S96" s="1">
        <v>0</v>
      </c>
      <c r="T96" s="1">
        <v>0</v>
      </c>
      <c r="U96" s="1" t="s">
        <v>3347</v>
      </c>
      <c r="V96" s="1" t="s">
        <v>3347</v>
      </c>
      <c r="W96" s="1">
        <v>1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0</v>
      </c>
      <c r="AD96" s="1">
        <v>0</v>
      </c>
      <c r="AE96" s="1">
        <v>0</v>
      </c>
      <c r="AF96" s="1">
        <v>0</v>
      </c>
      <c r="AG96" s="1">
        <v>0</v>
      </c>
      <c r="AH96" s="1">
        <v>0</v>
      </c>
      <c r="AI96" s="1">
        <v>0</v>
      </c>
      <c r="AJ96" s="1">
        <v>0</v>
      </c>
      <c r="AK96" s="1">
        <v>0</v>
      </c>
      <c r="AL96" s="1">
        <v>0</v>
      </c>
      <c r="AM96" s="1">
        <v>0</v>
      </c>
      <c r="AN96" s="1">
        <v>0</v>
      </c>
      <c r="AO96" s="1">
        <v>1</v>
      </c>
      <c r="AP96" s="1">
        <v>0</v>
      </c>
      <c r="AQ96" s="1">
        <v>3</v>
      </c>
      <c r="AR96" s="1">
        <v>0</v>
      </c>
      <c r="AS96" s="1">
        <v>0</v>
      </c>
      <c r="AT96" s="1">
        <v>3</v>
      </c>
      <c r="AU96" s="1">
        <v>0</v>
      </c>
      <c r="AV96" s="1">
        <v>0</v>
      </c>
      <c r="AW96" s="1">
        <v>1</v>
      </c>
      <c r="AX96" s="1">
        <v>0</v>
      </c>
      <c r="AY96" s="1">
        <v>0</v>
      </c>
      <c r="AZ96" s="1">
        <v>0</v>
      </c>
      <c r="BA96" s="1">
        <v>2</v>
      </c>
      <c r="BB96" s="1">
        <v>0</v>
      </c>
      <c r="BC96" s="1">
        <v>6</v>
      </c>
      <c r="BD96" s="1">
        <v>0</v>
      </c>
      <c r="BE96" s="1">
        <v>3</v>
      </c>
      <c r="BF96" s="1">
        <v>0</v>
      </c>
      <c r="BG96" s="1">
        <v>0</v>
      </c>
      <c r="BH96" s="1">
        <v>0</v>
      </c>
      <c r="BI96" s="1">
        <v>0</v>
      </c>
      <c r="BJ96" s="1">
        <v>0</v>
      </c>
      <c r="BK96" s="1">
        <v>0</v>
      </c>
      <c r="BL96" s="1">
        <v>0</v>
      </c>
      <c r="BM96" s="1">
        <v>0</v>
      </c>
      <c r="BN96" s="1" t="s">
        <v>3355</v>
      </c>
      <c r="BO96" s="1">
        <v>0</v>
      </c>
    </row>
    <row r="97" hidden="1" spans="1:67">
      <c r="A97" s="18">
        <v>43714</v>
      </c>
      <c r="B97" s="18">
        <v>43717</v>
      </c>
      <c r="C97" s="18">
        <v>43744</v>
      </c>
      <c r="D97" s="18">
        <f ca="1" t="shared" ref="D97:I97" si="92">C97</f>
        <v>43744</v>
      </c>
      <c r="E97" s="18">
        <v>43752</v>
      </c>
      <c r="F97" s="18">
        <f ca="1" t="shared" si="92"/>
        <v>43752</v>
      </c>
      <c r="G97" s="18">
        <v>43778</v>
      </c>
      <c r="H97" s="18">
        <v>43778</v>
      </c>
      <c r="I97" s="18">
        <f ca="1" t="shared" si="92"/>
        <v>43778</v>
      </c>
      <c r="J97" s="18">
        <f ca="1" t="shared" si="66"/>
        <v>43778</v>
      </c>
      <c r="L97" s="1">
        <v>27.9</v>
      </c>
      <c r="M97" s="1">
        <v>133</v>
      </c>
      <c r="N97" s="1">
        <v>28</v>
      </c>
      <c r="O97" s="1">
        <v>3215.6</v>
      </c>
      <c r="P97" s="1">
        <v>0</v>
      </c>
      <c r="Q97" s="1">
        <v>0</v>
      </c>
      <c r="R97" s="1">
        <v>0</v>
      </c>
      <c r="S97" s="1">
        <v>0</v>
      </c>
      <c r="T97" s="1">
        <v>0</v>
      </c>
      <c r="U97" s="1" t="s">
        <v>3329</v>
      </c>
      <c r="V97" s="1" t="s">
        <v>3329</v>
      </c>
      <c r="W97" s="1">
        <v>1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0</v>
      </c>
      <c r="AD97" s="1">
        <v>0</v>
      </c>
      <c r="AE97" s="1">
        <v>0</v>
      </c>
      <c r="AF97" s="1">
        <v>0</v>
      </c>
      <c r="AG97" s="1">
        <v>0</v>
      </c>
      <c r="AH97" s="1">
        <v>0</v>
      </c>
      <c r="AI97" s="1">
        <v>0</v>
      </c>
      <c r="AJ97" s="1">
        <v>0</v>
      </c>
      <c r="AK97" s="1">
        <v>0</v>
      </c>
      <c r="AL97" s="1">
        <v>0</v>
      </c>
      <c r="AM97" s="1">
        <v>0</v>
      </c>
      <c r="AN97" s="1">
        <v>0</v>
      </c>
      <c r="AO97" s="1">
        <v>1</v>
      </c>
      <c r="AP97" s="1">
        <v>0</v>
      </c>
      <c r="AQ97" s="1">
        <v>3</v>
      </c>
      <c r="AR97" s="1">
        <v>0</v>
      </c>
      <c r="AS97" s="1">
        <v>0</v>
      </c>
      <c r="AT97" s="1">
        <v>0</v>
      </c>
      <c r="AU97" s="1">
        <v>0</v>
      </c>
      <c r="AV97" s="1">
        <v>0</v>
      </c>
      <c r="AW97" s="1">
        <v>1</v>
      </c>
      <c r="AX97" s="1">
        <v>0</v>
      </c>
      <c r="AY97" s="1">
        <v>0</v>
      </c>
      <c r="AZ97" s="1">
        <v>0</v>
      </c>
      <c r="BA97" s="1">
        <v>0</v>
      </c>
      <c r="BB97" s="1">
        <v>0</v>
      </c>
      <c r="BC97" s="1">
        <v>0</v>
      </c>
      <c r="BD97" s="1">
        <v>0</v>
      </c>
      <c r="BE97" s="1">
        <v>3</v>
      </c>
      <c r="BF97" s="1">
        <v>0</v>
      </c>
      <c r="BG97" s="1">
        <v>0</v>
      </c>
      <c r="BH97" s="1">
        <v>0</v>
      </c>
      <c r="BI97" s="1">
        <v>0</v>
      </c>
      <c r="BJ97" s="1">
        <v>0</v>
      </c>
      <c r="BK97" s="1">
        <v>0</v>
      </c>
      <c r="BL97" s="1">
        <v>0</v>
      </c>
      <c r="BM97" s="1">
        <v>0</v>
      </c>
      <c r="BN97" s="1">
        <v>0</v>
      </c>
      <c r="BO97" s="1">
        <v>0</v>
      </c>
    </row>
    <row r="98" hidden="1" spans="1:67">
      <c r="A98" s="18">
        <v>43714</v>
      </c>
      <c r="B98" s="18">
        <v>43717</v>
      </c>
      <c r="C98" s="18">
        <v>43744</v>
      </c>
      <c r="D98" s="18">
        <f ca="1" t="shared" ref="D98:I98" si="93">C98</f>
        <v>43744</v>
      </c>
      <c r="E98" s="18">
        <v>43752</v>
      </c>
      <c r="F98" s="18">
        <f ca="1" t="shared" si="93"/>
        <v>43752</v>
      </c>
      <c r="G98" s="18">
        <v>43744</v>
      </c>
      <c r="H98" s="18">
        <v>43778</v>
      </c>
      <c r="I98" s="18">
        <f ca="1" t="shared" si="93"/>
        <v>43778</v>
      </c>
      <c r="J98" s="18">
        <f ca="1" t="shared" si="66"/>
        <v>43778</v>
      </c>
      <c r="L98" s="1">
        <v>40</v>
      </c>
      <c r="M98" s="1" t="s">
        <v>3384</v>
      </c>
      <c r="N98" s="1">
        <v>43.3</v>
      </c>
      <c r="O98" s="1">
        <v>3255.6</v>
      </c>
      <c r="P98" s="1">
        <v>0</v>
      </c>
      <c r="Q98" s="1">
        <v>0</v>
      </c>
      <c r="R98" s="1">
        <v>0</v>
      </c>
      <c r="S98" s="1">
        <v>0</v>
      </c>
      <c r="T98" s="1">
        <v>0</v>
      </c>
      <c r="U98" s="1">
        <v>0</v>
      </c>
      <c r="V98" s="1" t="s">
        <v>3329</v>
      </c>
      <c r="W98" s="1">
        <v>0</v>
      </c>
      <c r="X98" s="1">
        <v>1</v>
      </c>
      <c r="Y98" s="1">
        <v>0</v>
      </c>
      <c r="Z98" s="1">
        <v>1</v>
      </c>
      <c r="AA98" s="1">
        <v>0</v>
      </c>
      <c r="AB98" s="1">
        <v>0</v>
      </c>
      <c r="AC98" s="1">
        <v>0</v>
      </c>
      <c r="AD98" s="1">
        <v>0</v>
      </c>
      <c r="AE98" s="1">
        <v>0</v>
      </c>
      <c r="AF98" s="1">
        <v>0</v>
      </c>
      <c r="AG98" s="1">
        <v>0</v>
      </c>
      <c r="AH98" s="1">
        <v>0</v>
      </c>
      <c r="AI98" s="1">
        <v>0</v>
      </c>
      <c r="AJ98" s="1">
        <v>1</v>
      </c>
      <c r="AK98" s="1">
        <v>0</v>
      </c>
      <c r="AL98" s="1">
        <v>0</v>
      </c>
      <c r="AM98" s="1">
        <v>0</v>
      </c>
      <c r="AN98" s="1">
        <v>0</v>
      </c>
      <c r="AO98" s="1">
        <v>1</v>
      </c>
      <c r="AP98" s="1">
        <v>0</v>
      </c>
      <c r="AQ98" s="1">
        <v>3</v>
      </c>
      <c r="AR98" s="1">
        <v>0</v>
      </c>
      <c r="AS98" s="1">
        <v>0</v>
      </c>
      <c r="AT98" s="1">
        <v>0</v>
      </c>
      <c r="AU98" s="1">
        <v>0</v>
      </c>
      <c r="AV98" s="1">
        <v>0</v>
      </c>
      <c r="AW98" s="1">
        <v>1</v>
      </c>
      <c r="AX98" s="1">
        <v>0</v>
      </c>
      <c r="AY98" s="1">
        <v>0</v>
      </c>
      <c r="AZ98" s="1">
        <v>0</v>
      </c>
      <c r="BA98" s="1">
        <v>0</v>
      </c>
      <c r="BB98" s="1">
        <v>0</v>
      </c>
      <c r="BC98" s="1">
        <v>0</v>
      </c>
      <c r="BD98" s="1">
        <v>0</v>
      </c>
      <c r="BE98" s="1">
        <v>3</v>
      </c>
      <c r="BF98" s="1">
        <v>0</v>
      </c>
      <c r="BG98" s="1">
        <v>0</v>
      </c>
      <c r="BH98" s="1">
        <v>0</v>
      </c>
      <c r="BI98" s="1">
        <v>2</v>
      </c>
      <c r="BJ98" s="1">
        <v>0</v>
      </c>
      <c r="BK98" s="1">
        <v>4</v>
      </c>
      <c r="BL98" s="1">
        <v>4</v>
      </c>
      <c r="BM98" s="1">
        <v>0</v>
      </c>
      <c r="BN98" s="1">
        <v>0</v>
      </c>
      <c r="BO98" s="1">
        <v>0</v>
      </c>
    </row>
    <row r="99" hidden="1" spans="1:67">
      <c r="A99" s="18">
        <v>43714</v>
      </c>
      <c r="B99" s="18">
        <v>43717</v>
      </c>
      <c r="C99" s="18">
        <v>43744</v>
      </c>
      <c r="D99" s="18">
        <f ca="1" t="shared" ref="D99:I99" si="94">C99</f>
        <v>43744</v>
      </c>
      <c r="E99" s="18">
        <v>43752</v>
      </c>
      <c r="F99" s="18">
        <f ca="1" t="shared" si="94"/>
        <v>43752</v>
      </c>
      <c r="G99" s="18">
        <v>43778</v>
      </c>
      <c r="H99" s="18">
        <v>43778</v>
      </c>
      <c r="I99" s="18">
        <f ca="1" t="shared" si="94"/>
        <v>43778</v>
      </c>
      <c r="J99" s="18">
        <f ca="1" t="shared" si="66"/>
        <v>43778</v>
      </c>
      <c r="L99" s="1">
        <v>39.4</v>
      </c>
      <c r="M99" s="1">
        <v>134</v>
      </c>
      <c r="N99" s="1">
        <v>34.1</v>
      </c>
      <c r="O99" s="1">
        <v>3295</v>
      </c>
      <c r="P99" s="1">
        <v>0</v>
      </c>
      <c r="Q99" s="1">
        <v>0</v>
      </c>
      <c r="R99" s="1">
        <v>0</v>
      </c>
      <c r="S99" s="1">
        <v>0</v>
      </c>
      <c r="T99" s="1">
        <v>0</v>
      </c>
      <c r="U99" s="1" t="s">
        <v>3327</v>
      </c>
      <c r="V99" s="1" t="s">
        <v>3327</v>
      </c>
      <c r="W99" s="1">
        <v>1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0</v>
      </c>
      <c r="AD99" s="1">
        <v>1</v>
      </c>
      <c r="AE99" s="1">
        <v>0</v>
      </c>
      <c r="AF99" s="1">
        <v>0</v>
      </c>
      <c r="AG99" s="1">
        <v>0</v>
      </c>
      <c r="AH99" s="1">
        <v>0</v>
      </c>
      <c r="AI99" s="1">
        <v>0</v>
      </c>
      <c r="AJ99" s="1">
        <v>0</v>
      </c>
      <c r="AK99" s="1">
        <v>0</v>
      </c>
      <c r="AL99" s="1">
        <v>0</v>
      </c>
      <c r="AM99" s="1">
        <v>0</v>
      </c>
      <c r="AN99" s="1">
        <v>0</v>
      </c>
      <c r="AO99" s="1">
        <v>0</v>
      </c>
      <c r="AP99" s="1">
        <v>1</v>
      </c>
      <c r="AQ99" s="1">
        <v>6</v>
      </c>
      <c r="AR99" s="1">
        <v>0</v>
      </c>
      <c r="AS99" s="1">
        <v>0</v>
      </c>
      <c r="AT99" s="1">
        <v>0</v>
      </c>
      <c r="AU99" s="1">
        <v>0</v>
      </c>
      <c r="AV99" s="1">
        <v>0</v>
      </c>
      <c r="AW99" s="1">
        <v>1</v>
      </c>
      <c r="AX99" s="1">
        <v>0</v>
      </c>
      <c r="AY99" s="1">
        <v>0</v>
      </c>
      <c r="AZ99" s="1">
        <v>0</v>
      </c>
      <c r="BA99" s="1">
        <v>0</v>
      </c>
      <c r="BB99" s="1">
        <v>0</v>
      </c>
      <c r="BC99" s="1">
        <v>0</v>
      </c>
      <c r="BD99" s="1">
        <v>6</v>
      </c>
      <c r="BE99" s="1">
        <v>0</v>
      </c>
      <c r="BF99" s="1">
        <v>0</v>
      </c>
      <c r="BG99" s="1">
        <v>0</v>
      </c>
      <c r="BH99" s="1">
        <v>0</v>
      </c>
      <c r="BI99" s="1">
        <v>0</v>
      </c>
      <c r="BJ99" s="1">
        <v>0</v>
      </c>
      <c r="BK99" s="1">
        <v>0</v>
      </c>
      <c r="BL99" s="1">
        <v>0</v>
      </c>
      <c r="BM99" s="1">
        <v>0</v>
      </c>
      <c r="BN99" s="1">
        <v>0</v>
      </c>
      <c r="BO99" s="1">
        <v>0</v>
      </c>
    </row>
    <row r="100" hidden="1" spans="1:67">
      <c r="A100" s="18">
        <v>43714</v>
      </c>
      <c r="B100" s="18">
        <v>43717</v>
      </c>
      <c r="C100" s="18">
        <v>43744</v>
      </c>
      <c r="D100" s="18">
        <f ca="1" t="shared" ref="D100:I100" si="95">C100</f>
        <v>43744</v>
      </c>
      <c r="E100" s="18">
        <v>43752</v>
      </c>
      <c r="F100" s="18">
        <f ca="1" t="shared" si="95"/>
        <v>43752</v>
      </c>
      <c r="G100" s="18">
        <v>43744</v>
      </c>
      <c r="H100" s="18">
        <v>43778</v>
      </c>
      <c r="I100" s="18">
        <f ca="1" t="shared" si="95"/>
        <v>43778</v>
      </c>
      <c r="J100" s="18">
        <f ca="1" t="shared" si="66"/>
        <v>43778</v>
      </c>
      <c r="L100" s="1">
        <v>40</v>
      </c>
      <c r="M100" s="1" t="s">
        <v>3385</v>
      </c>
      <c r="N100" s="1">
        <v>39.1</v>
      </c>
      <c r="O100" s="1">
        <v>3335</v>
      </c>
      <c r="P100" s="1">
        <v>0</v>
      </c>
      <c r="Q100" s="1">
        <v>0</v>
      </c>
      <c r="R100" s="1">
        <v>0</v>
      </c>
      <c r="S100" s="1">
        <v>0</v>
      </c>
      <c r="T100" s="1">
        <v>0</v>
      </c>
      <c r="U100" s="1">
        <v>0</v>
      </c>
      <c r="V100" s="1" t="s">
        <v>3329</v>
      </c>
      <c r="W100" s="1">
        <v>0</v>
      </c>
      <c r="X100" s="1">
        <v>1</v>
      </c>
      <c r="Y100" s="1">
        <v>0</v>
      </c>
      <c r="Z100" s="1">
        <v>0</v>
      </c>
      <c r="AA100" s="1">
        <v>1</v>
      </c>
      <c r="AB100" s="1">
        <v>0</v>
      </c>
      <c r="AC100" s="1">
        <v>0</v>
      </c>
      <c r="AD100" s="1">
        <v>0</v>
      </c>
      <c r="AE100" s="1">
        <v>0</v>
      </c>
      <c r="AF100" s="1">
        <v>0</v>
      </c>
      <c r="AG100" s="1">
        <v>0</v>
      </c>
      <c r="AH100" s="1">
        <v>0</v>
      </c>
      <c r="AI100" s="1">
        <v>0</v>
      </c>
      <c r="AJ100" s="1">
        <v>0</v>
      </c>
      <c r="AK100" s="1">
        <v>0</v>
      </c>
      <c r="AL100" s="1">
        <v>0</v>
      </c>
      <c r="AM100" s="1">
        <v>0</v>
      </c>
      <c r="AN100" s="1">
        <v>0</v>
      </c>
      <c r="AO100" s="1">
        <v>1</v>
      </c>
      <c r="AP100" s="1">
        <v>0</v>
      </c>
      <c r="AQ100" s="1">
        <v>3</v>
      </c>
      <c r="AR100" s="1">
        <v>0</v>
      </c>
      <c r="AS100" s="1">
        <v>0</v>
      </c>
      <c r="AT100" s="1">
        <v>0</v>
      </c>
      <c r="AU100" s="1">
        <v>0</v>
      </c>
      <c r="AV100" s="1">
        <v>0</v>
      </c>
      <c r="AW100" s="1">
        <v>1</v>
      </c>
      <c r="AX100" s="1">
        <v>0</v>
      </c>
      <c r="AY100" s="1">
        <v>0</v>
      </c>
      <c r="AZ100" s="1">
        <v>0</v>
      </c>
      <c r="BA100" s="1">
        <v>0</v>
      </c>
      <c r="BB100" s="1">
        <v>0</v>
      </c>
      <c r="BC100" s="1">
        <v>0</v>
      </c>
      <c r="BD100" s="1">
        <v>0</v>
      </c>
      <c r="BE100" s="1">
        <v>3</v>
      </c>
      <c r="BF100" s="1">
        <v>0</v>
      </c>
      <c r="BG100" s="1">
        <v>0</v>
      </c>
      <c r="BH100" s="1">
        <v>0</v>
      </c>
      <c r="BI100" s="1">
        <v>2</v>
      </c>
      <c r="BJ100" s="1">
        <v>0</v>
      </c>
      <c r="BK100" s="1">
        <v>5</v>
      </c>
      <c r="BL100" s="1">
        <v>4</v>
      </c>
      <c r="BM100" s="1">
        <v>0</v>
      </c>
      <c r="BN100" s="1">
        <v>0</v>
      </c>
      <c r="BO100" s="1">
        <v>0</v>
      </c>
    </row>
    <row r="101" hidden="1" spans="1:67">
      <c r="A101" s="18">
        <v>43714</v>
      </c>
      <c r="B101" s="18">
        <v>43717</v>
      </c>
      <c r="C101" s="18">
        <v>43744</v>
      </c>
      <c r="D101" s="18">
        <f ca="1" t="shared" ref="D101:I101" si="96">C101</f>
        <v>43744</v>
      </c>
      <c r="E101" s="18">
        <v>43752</v>
      </c>
      <c r="F101" s="18">
        <f ca="1" t="shared" si="96"/>
        <v>43752</v>
      </c>
      <c r="G101" s="18">
        <v>43778</v>
      </c>
      <c r="H101" s="18">
        <v>43778</v>
      </c>
      <c r="I101" s="18">
        <f ca="1" t="shared" si="96"/>
        <v>43778</v>
      </c>
      <c r="J101" s="18">
        <f ca="1" t="shared" si="66"/>
        <v>43778</v>
      </c>
      <c r="L101" s="1">
        <v>40.1</v>
      </c>
      <c r="M101" s="1">
        <v>135</v>
      </c>
      <c r="N101" s="1">
        <v>41.1</v>
      </c>
      <c r="O101" s="1">
        <v>3375.1</v>
      </c>
      <c r="P101" s="1">
        <v>0</v>
      </c>
      <c r="Q101" s="1">
        <v>0</v>
      </c>
      <c r="R101" s="1">
        <v>0</v>
      </c>
      <c r="S101" s="1">
        <v>0</v>
      </c>
      <c r="T101" s="1">
        <v>0</v>
      </c>
      <c r="U101" s="1" t="s">
        <v>3329</v>
      </c>
      <c r="V101" s="1" t="s">
        <v>3329</v>
      </c>
      <c r="W101" s="1">
        <v>1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0</v>
      </c>
      <c r="AD101" s="1">
        <v>0</v>
      </c>
      <c r="AE101" s="1">
        <v>0</v>
      </c>
      <c r="AF101" s="1">
        <v>0</v>
      </c>
      <c r="AG101" s="1">
        <v>0</v>
      </c>
      <c r="AH101" s="1">
        <v>0</v>
      </c>
      <c r="AI101" s="1">
        <v>0</v>
      </c>
      <c r="AJ101" s="1">
        <v>0</v>
      </c>
      <c r="AK101" s="1">
        <v>0</v>
      </c>
      <c r="AL101" s="1">
        <v>0</v>
      </c>
      <c r="AM101" s="1">
        <v>0</v>
      </c>
      <c r="AN101" s="1">
        <v>0</v>
      </c>
      <c r="AO101" s="1">
        <v>1</v>
      </c>
      <c r="AP101" s="1">
        <v>0</v>
      </c>
      <c r="AQ101" s="1">
        <v>3</v>
      </c>
      <c r="AR101" s="1">
        <v>0</v>
      </c>
      <c r="AS101" s="1">
        <v>0</v>
      </c>
      <c r="AT101" s="1">
        <v>0</v>
      </c>
      <c r="AU101" s="1">
        <v>0</v>
      </c>
      <c r="AV101" s="1">
        <v>0</v>
      </c>
      <c r="AW101" s="1">
        <v>1</v>
      </c>
      <c r="AX101" s="1">
        <v>0</v>
      </c>
      <c r="AY101" s="1">
        <v>0</v>
      </c>
      <c r="AZ101" s="1">
        <v>0</v>
      </c>
      <c r="BA101" s="1">
        <v>0</v>
      </c>
      <c r="BB101" s="1">
        <v>0</v>
      </c>
      <c r="BC101" s="1">
        <v>0</v>
      </c>
      <c r="BD101" s="1">
        <v>0</v>
      </c>
      <c r="BE101" s="1">
        <v>3</v>
      </c>
      <c r="BF101" s="1">
        <v>0</v>
      </c>
      <c r="BG101" s="1">
        <v>0</v>
      </c>
      <c r="BH101" s="1">
        <v>0</v>
      </c>
      <c r="BI101" s="1">
        <v>0</v>
      </c>
      <c r="BJ101" s="1">
        <v>0</v>
      </c>
      <c r="BK101" s="1">
        <v>0</v>
      </c>
      <c r="BL101" s="1">
        <v>0</v>
      </c>
      <c r="BM101" s="1">
        <v>0</v>
      </c>
      <c r="BN101" s="1">
        <v>0</v>
      </c>
      <c r="BO101" s="1">
        <v>0</v>
      </c>
    </row>
    <row r="102" hidden="1" spans="1:67">
      <c r="A102" s="18">
        <v>43714</v>
      </c>
      <c r="B102" s="18">
        <v>43717</v>
      </c>
      <c r="C102" s="18">
        <v>43744</v>
      </c>
      <c r="D102" s="18">
        <f ca="1" t="shared" ref="D102:I102" si="97">C102</f>
        <v>43744</v>
      </c>
      <c r="E102" s="18">
        <v>43752</v>
      </c>
      <c r="F102" s="18">
        <f ca="1" t="shared" si="97"/>
        <v>43752</v>
      </c>
      <c r="G102" s="18">
        <v>43744</v>
      </c>
      <c r="H102" s="18">
        <v>43778</v>
      </c>
      <c r="I102" s="18">
        <f ca="1" t="shared" si="97"/>
        <v>43778</v>
      </c>
      <c r="J102" s="18">
        <f ca="1" t="shared" si="66"/>
        <v>43778</v>
      </c>
      <c r="L102" s="1">
        <v>37</v>
      </c>
      <c r="M102" s="1" t="s">
        <v>3386</v>
      </c>
      <c r="N102" s="1">
        <v>38.4</v>
      </c>
      <c r="O102" s="1">
        <v>3412.1</v>
      </c>
      <c r="P102" s="1">
        <v>0</v>
      </c>
      <c r="Q102" s="1">
        <v>0</v>
      </c>
      <c r="R102" s="1">
        <v>0</v>
      </c>
      <c r="S102" s="1">
        <v>0</v>
      </c>
      <c r="T102" s="1">
        <v>0</v>
      </c>
      <c r="U102" s="1">
        <v>0</v>
      </c>
      <c r="V102" s="1" t="s">
        <v>3329</v>
      </c>
      <c r="W102" s="1">
        <v>0</v>
      </c>
      <c r="X102" s="1">
        <v>1</v>
      </c>
      <c r="Y102" s="1">
        <v>0</v>
      </c>
      <c r="Z102" s="1">
        <v>0</v>
      </c>
      <c r="AA102" s="1">
        <v>1</v>
      </c>
      <c r="AB102" s="1">
        <v>0</v>
      </c>
      <c r="AC102" s="1">
        <v>0</v>
      </c>
      <c r="AD102" s="1">
        <v>0</v>
      </c>
      <c r="AE102" s="1">
        <v>0</v>
      </c>
      <c r="AF102" s="1">
        <v>0</v>
      </c>
      <c r="AG102" s="1">
        <v>0</v>
      </c>
      <c r="AH102" s="1">
        <v>0</v>
      </c>
      <c r="AI102" s="1">
        <v>0</v>
      </c>
      <c r="AJ102" s="1">
        <v>0</v>
      </c>
      <c r="AK102" s="1">
        <v>0</v>
      </c>
      <c r="AL102" s="1">
        <v>0</v>
      </c>
      <c r="AM102" s="1">
        <v>0</v>
      </c>
      <c r="AN102" s="1">
        <v>0</v>
      </c>
      <c r="AO102" s="1">
        <v>1</v>
      </c>
      <c r="AP102" s="1">
        <v>0</v>
      </c>
      <c r="AQ102" s="1">
        <v>3</v>
      </c>
      <c r="AR102" s="1">
        <v>0</v>
      </c>
      <c r="AS102" s="1">
        <v>0</v>
      </c>
      <c r="AT102" s="1">
        <v>0</v>
      </c>
      <c r="AU102" s="1">
        <v>0</v>
      </c>
      <c r="AV102" s="1">
        <v>0</v>
      </c>
      <c r="AW102" s="1">
        <v>1</v>
      </c>
      <c r="AX102" s="1">
        <v>0</v>
      </c>
      <c r="AY102" s="1">
        <v>0</v>
      </c>
      <c r="AZ102" s="1">
        <v>0</v>
      </c>
      <c r="BA102" s="1">
        <v>0</v>
      </c>
      <c r="BB102" s="1">
        <v>0</v>
      </c>
      <c r="BC102" s="1">
        <v>0</v>
      </c>
      <c r="BD102" s="1">
        <v>0</v>
      </c>
      <c r="BE102" s="1">
        <v>3</v>
      </c>
      <c r="BF102" s="1">
        <v>0</v>
      </c>
      <c r="BG102" s="1">
        <v>0</v>
      </c>
      <c r="BH102" s="1">
        <v>0</v>
      </c>
      <c r="BI102" s="1">
        <v>2</v>
      </c>
      <c r="BJ102" s="1">
        <v>0</v>
      </c>
      <c r="BK102" s="1">
        <v>5</v>
      </c>
      <c r="BL102" s="1">
        <v>4</v>
      </c>
      <c r="BM102" s="1">
        <v>0</v>
      </c>
      <c r="BN102" s="1">
        <v>0</v>
      </c>
      <c r="BO102" s="1">
        <v>0</v>
      </c>
    </row>
    <row r="103" hidden="1" spans="1:67">
      <c r="A103" s="18">
        <v>43714</v>
      </c>
      <c r="B103" s="18">
        <v>43717</v>
      </c>
      <c r="C103" s="18">
        <v>43744</v>
      </c>
      <c r="D103" s="18">
        <f ca="1" t="shared" ref="D103:I103" si="98">C103</f>
        <v>43744</v>
      </c>
      <c r="E103" s="18">
        <v>43752</v>
      </c>
      <c r="F103" s="18">
        <f ca="1" t="shared" si="98"/>
        <v>43752</v>
      </c>
      <c r="G103" s="18">
        <v>43778</v>
      </c>
      <c r="H103" s="18">
        <v>43778</v>
      </c>
      <c r="I103" s="18">
        <f ca="1" t="shared" si="98"/>
        <v>43778</v>
      </c>
      <c r="J103" s="18">
        <f ca="1" t="shared" si="66"/>
        <v>43778</v>
      </c>
      <c r="L103" s="1">
        <v>36.6</v>
      </c>
      <c r="M103" s="1">
        <v>136</v>
      </c>
      <c r="N103" s="1">
        <v>35.2</v>
      </c>
      <c r="O103" s="1">
        <v>3448.7</v>
      </c>
      <c r="P103" s="1">
        <v>0</v>
      </c>
      <c r="Q103" s="1">
        <v>0</v>
      </c>
      <c r="R103" s="1">
        <v>0</v>
      </c>
      <c r="S103" s="1">
        <v>0</v>
      </c>
      <c r="T103" s="1">
        <v>0</v>
      </c>
      <c r="U103" s="1" t="s">
        <v>3329</v>
      </c>
      <c r="V103" s="1" t="s">
        <v>3329</v>
      </c>
      <c r="W103" s="1">
        <v>1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0</v>
      </c>
      <c r="AD103" s="1">
        <v>0</v>
      </c>
      <c r="AE103" s="1">
        <v>0</v>
      </c>
      <c r="AF103" s="1">
        <v>0</v>
      </c>
      <c r="AG103" s="1">
        <v>0</v>
      </c>
      <c r="AH103" s="1">
        <v>0</v>
      </c>
      <c r="AI103" s="1">
        <v>0</v>
      </c>
      <c r="AJ103" s="1">
        <v>0</v>
      </c>
      <c r="AK103" s="1">
        <v>1</v>
      </c>
      <c r="AL103" s="1">
        <v>0</v>
      </c>
      <c r="AM103" s="1">
        <v>0</v>
      </c>
      <c r="AN103" s="1">
        <v>0</v>
      </c>
      <c r="AO103" s="1">
        <v>1</v>
      </c>
      <c r="AP103" s="1">
        <v>0</v>
      </c>
      <c r="AQ103" s="1">
        <v>3</v>
      </c>
      <c r="AR103" s="1">
        <v>0</v>
      </c>
      <c r="AS103" s="1">
        <v>0</v>
      </c>
      <c r="AT103" s="1">
        <v>0</v>
      </c>
      <c r="AU103" s="1">
        <v>0</v>
      </c>
      <c r="AV103" s="1">
        <v>0</v>
      </c>
      <c r="AW103" s="1">
        <v>1</v>
      </c>
      <c r="AX103" s="1">
        <v>0</v>
      </c>
      <c r="AY103" s="1">
        <v>0</v>
      </c>
      <c r="AZ103" s="1">
        <v>0</v>
      </c>
      <c r="BA103" s="1">
        <v>0</v>
      </c>
      <c r="BB103" s="1">
        <v>0</v>
      </c>
      <c r="BC103" s="1">
        <v>0</v>
      </c>
      <c r="BD103" s="1">
        <v>0</v>
      </c>
      <c r="BE103" s="1">
        <v>3</v>
      </c>
      <c r="BF103" s="1">
        <v>0</v>
      </c>
      <c r="BG103" s="1">
        <v>0</v>
      </c>
      <c r="BH103" s="1">
        <v>0</v>
      </c>
      <c r="BI103" s="1">
        <v>0</v>
      </c>
      <c r="BJ103" s="1">
        <v>0</v>
      </c>
      <c r="BK103" s="1">
        <v>0</v>
      </c>
      <c r="BL103" s="1">
        <v>0</v>
      </c>
      <c r="BM103" s="1">
        <v>0</v>
      </c>
      <c r="BN103" s="1">
        <v>0</v>
      </c>
      <c r="BO103" s="1">
        <v>0</v>
      </c>
    </row>
    <row r="104" hidden="1" spans="1:67">
      <c r="A104" s="18">
        <v>43714</v>
      </c>
      <c r="B104" s="18">
        <v>43717</v>
      </c>
      <c r="C104" s="18">
        <v>43744</v>
      </c>
      <c r="D104" s="18">
        <f ca="1" t="shared" ref="D104:I104" si="99">C104</f>
        <v>43744</v>
      </c>
      <c r="E104" s="18">
        <v>43752</v>
      </c>
      <c r="F104" s="18">
        <f ca="1" t="shared" si="99"/>
        <v>43752</v>
      </c>
      <c r="G104" s="18">
        <v>43744</v>
      </c>
      <c r="H104" s="18">
        <v>43778</v>
      </c>
      <c r="I104" s="18">
        <f ca="1" t="shared" si="99"/>
        <v>43778</v>
      </c>
      <c r="J104" s="18">
        <f ca="1" t="shared" si="66"/>
        <v>43778</v>
      </c>
      <c r="L104" s="1">
        <v>42</v>
      </c>
      <c r="M104" s="1" t="s">
        <v>3387</v>
      </c>
      <c r="N104" s="1">
        <v>39.6</v>
      </c>
      <c r="O104" s="1">
        <v>3490.7</v>
      </c>
      <c r="P104" s="1">
        <v>0</v>
      </c>
      <c r="Q104" s="1">
        <v>0</v>
      </c>
      <c r="R104" s="1">
        <v>12</v>
      </c>
      <c r="S104" s="1">
        <v>6</v>
      </c>
      <c r="T104" s="1">
        <v>0</v>
      </c>
      <c r="U104" s="1">
        <v>0</v>
      </c>
      <c r="V104" s="1" t="s">
        <v>3324</v>
      </c>
      <c r="W104" s="1">
        <v>0</v>
      </c>
      <c r="X104" s="1">
        <v>2</v>
      </c>
      <c r="Y104" s="1">
        <v>0</v>
      </c>
      <c r="Z104" s="1">
        <v>0</v>
      </c>
      <c r="AA104" s="1">
        <v>0</v>
      </c>
      <c r="AB104" s="1">
        <v>1</v>
      </c>
      <c r="AC104" s="1">
        <v>0</v>
      </c>
      <c r="AD104" s="1">
        <v>0</v>
      </c>
      <c r="AE104" s="1">
        <v>0</v>
      </c>
      <c r="AF104" s="1">
        <v>0</v>
      </c>
      <c r="AG104" s="1">
        <v>0</v>
      </c>
      <c r="AH104" s="1">
        <v>0</v>
      </c>
      <c r="AI104" s="1">
        <v>0</v>
      </c>
      <c r="AJ104" s="1">
        <v>0</v>
      </c>
      <c r="AK104" s="1">
        <v>0</v>
      </c>
      <c r="AL104" s="1">
        <v>0</v>
      </c>
      <c r="AM104" s="1">
        <v>0</v>
      </c>
      <c r="AN104" s="1">
        <v>1</v>
      </c>
      <c r="AO104" s="1">
        <v>0</v>
      </c>
      <c r="AP104" s="1">
        <v>0</v>
      </c>
      <c r="AQ104" s="1">
        <v>6</v>
      </c>
      <c r="AR104" s="1">
        <v>9</v>
      </c>
      <c r="AS104" s="1">
        <v>0</v>
      </c>
      <c r="AT104" s="1">
        <v>0</v>
      </c>
      <c r="AU104" s="1">
        <v>6</v>
      </c>
      <c r="AV104" s="1">
        <v>2</v>
      </c>
      <c r="AW104" s="1">
        <v>0</v>
      </c>
      <c r="AX104" s="1">
        <v>0</v>
      </c>
      <c r="AY104" s="1">
        <v>0</v>
      </c>
      <c r="AZ104" s="1">
        <v>0</v>
      </c>
      <c r="BA104" s="1">
        <v>0</v>
      </c>
      <c r="BB104" s="1">
        <v>2</v>
      </c>
      <c r="BC104" s="1">
        <v>6</v>
      </c>
      <c r="BD104" s="1">
        <v>0</v>
      </c>
      <c r="BE104" s="1">
        <v>6</v>
      </c>
      <c r="BF104" s="1">
        <v>3</v>
      </c>
      <c r="BG104" s="1">
        <v>0</v>
      </c>
      <c r="BH104" s="1">
        <v>0</v>
      </c>
      <c r="BI104" s="1">
        <v>2</v>
      </c>
      <c r="BJ104" s="1">
        <v>0</v>
      </c>
      <c r="BK104" s="1">
        <v>8</v>
      </c>
      <c r="BL104" s="1">
        <v>8</v>
      </c>
      <c r="BM104" s="1">
        <v>1.2</v>
      </c>
      <c r="BN104" s="1">
        <v>0</v>
      </c>
      <c r="BO104" s="1">
        <v>0</v>
      </c>
    </row>
    <row r="105" hidden="1" spans="1:67">
      <c r="A105" s="18">
        <v>43718</v>
      </c>
      <c r="B105" s="2">
        <v>43506</v>
      </c>
      <c r="C105" s="18">
        <v>43751</v>
      </c>
      <c r="D105" s="18">
        <f ca="1" t="shared" ref="D105:I105" si="100">C105</f>
        <v>43751</v>
      </c>
      <c r="E105" s="18">
        <v>43752</v>
      </c>
      <c r="F105" s="18">
        <f ca="1" t="shared" si="100"/>
        <v>43752</v>
      </c>
      <c r="G105" s="18">
        <v>43751</v>
      </c>
      <c r="H105" s="18">
        <v>43778</v>
      </c>
      <c r="I105" s="18">
        <f ca="1" t="shared" si="100"/>
        <v>43778</v>
      </c>
      <c r="J105" s="18">
        <f ca="1" t="shared" si="66"/>
        <v>43778</v>
      </c>
      <c r="L105" s="1">
        <v>41.8</v>
      </c>
      <c r="M105" s="1">
        <v>137</v>
      </c>
      <c r="N105" s="1">
        <v>41.1</v>
      </c>
      <c r="O105" s="1">
        <v>3532.5</v>
      </c>
      <c r="P105" s="1">
        <v>0</v>
      </c>
      <c r="Q105" s="1">
        <v>0</v>
      </c>
      <c r="R105" s="1">
        <v>0</v>
      </c>
      <c r="S105" s="1">
        <v>0</v>
      </c>
      <c r="T105" s="1">
        <v>5</v>
      </c>
      <c r="U105" s="1" t="s">
        <v>3329</v>
      </c>
      <c r="V105" s="1" t="s">
        <v>3329</v>
      </c>
      <c r="W105" s="1">
        <v>1</v>
      </c>
      <c r="X105" s="1">
        <v>0</v>
      </c>
      <c r="Y105" s="1">
        <v>1</v>
      </c>
      <c r="Z105" s="1">
        <v>0</v>
      </c>
      <c r="AA105" s="1">
        <v>0</v>
      </c>
      <c r="AB105" s="1">
        <v>0</v>
      </c>
      <c r="AC105" s="1">
        <v>1</v>
      </c>
      <c r="AD105" s="1">
        <v>0</v>
      </c>
      <c r="AE105" s="1">
        <v>0</v>
      </c>
      <c r="AF105" s="1">
        <v>0</v>
      </c>
      <c r="AG105" s="1">
        <v>0</v>
      </c>
      <c r="AH105" s="1">
        <v>0</v>
      </c>
      <c r="AI105" s="1">
        <v>0</v>
      </c>
      <c r="AJ105" s="1">
        <v>0</v>
      </c>
      <c r="AK105" s="1">
        <v>0</v>
      </c>
      <c r="AL105" s="1">
        <v>1</v>
      </c>
      <c r="AM105" s="1">
        <v>0</v>
      </c>
      <c r="AN105" s="1">
        <v>0</v>
      </c>
      <c r="AO105" s="1">
        <v>1</v>
      </c>
      <c r="AP105" s="1">
        <v>0</v>
      </c>
      <c r="AQ105" s="1">
        <v>3</v>
      </c>
      <c r="AR105" s="1">
        <v>0</v>
      </c>
      <c r="AS105" s="1">
        <v>0</v>
      </c>
      <c r="AT105" s="1">
        <v>0</v>
      </c>
      <c r="AU105" s="1">
        <v>0</v>
      </c>
      <c r="AV105" s="1">
        <v>0</v>
      </c>
      <c r="AW105" s="1">
        <v>1</v>
      </c>
      <c r="AX105" s="1">
        <v>1</v>
      </c>
      <c r="AY105" s="1">
        <v>1</v>
      </c>
      <c r="AZ105" s="1">
        <v>0</v>
      </c>
      <c r="BA105" s="1">
        <v>0</v>
      </c>
      <c r="BB105" s="1">
        <v>2</v>
      </c>
      <c r="BC105" s="1">
        <v>0</v>
      </c>
      <c r="BD105" s="1">
        <v>0</v>
      </c>
      <c r="BE105" s="1">
        <v>3</v>
      </c>
      <c r="BF105" s="1">
        <v>0</v>
      </c>
      <c r="BG105" s="1">
        <v>0</v>
      </c>
      <c r="BH105" s="1">
        <v>0</v>
      </c>
      <c r="BI105" s="1">
        <v>0</v>
      </c>
      <c r="BJ105" s="1">
        <v>0</v>
      </c>
      <c r="BK105" s="1">
        <v>0</v>
      </c>
      <c r="BL105" s="1">
        <v>0</v>
      </c>
      <c r="BM105" s="1">
        <v>0</v>
      </c>
      <c r="BN105" s="1" t="s">
        <v>3341</v>
      </c>
      <c r="BO105" s="1">
        <v>0</v>
      </c>
    </row>
    <row r="106" hidden="1" spans="1:67">
      <c r="A106" s="18">
        <v>43718</v>
      </c>
      <c r="B106" s="2">
        <v>43506</v>
      </c>
      <c r="C106" s="18">
        <v>43751</v>
      </c>
      <c r="D106" s="18">
        <f ca="1" t="shared" ref="D106:I106" si="101">C106</f>
        <v>43751</v>
      </c>
      <c r="E106" s="18">
        <v>43752</v>
      </c>
      <c r="F106" s="18">
        <f ca="1" t="shared" si="101"/>
        <v>43752</v>
      </c>
      <c r="G106" s="18">
        <v>43751</v>
      </c>
      <c r="H106" s="18">
        <v>43778</v>
      </c>
      <c r="I106" s="18">
        <f ca="1" t="shared" si="101"/>
        <v>43778</v>
      </c>
      <c r="J106" s="18">
        <f ca="1" t="shared" si="66"/>
        <v>43778</v>
      </c>
      <c r="L106" s="1">
        <v>36</v>
      </c>
      <c r="M106" s="1" t="s">
        <v>3388</v>
      </c>
      <c r="N106" s="1">
        <v>40</v>
      </c>
      <c r="O106" s="1">
        <v>3568.5</v>
      </c>
      <c r="P106" s="1">
        <v>0</v>
      </c>
      <c r="Q106" s="1">
        <v>0</v>
      </c>
      <c r="R106" s="1">
        <v>0</v>
      </c>
      <c r="S106" s="1">
        <v>0</v>
      </c>
      <c r="T106" s="1">
        <v>0</v>
      </c>
      <c r="U106" s="1">
        <v>0</v>
      </c>
      <c r="V106" s="1" t="s">
        <v>3329</v>
      </c>
      <c r="W106" s="1">
        <v>0</v>
      </c>
      <c r="X106" s="1">
        <v>1</v>
      </c>
      <c r="Y106" s="1">
        <v>0</v>
      </c>
      <c r="Z106" s="1">
        <v>0</v>
      </c>
      <c r="AA106" s="1">
        <v>1</v>
      </c>
      <c r="AB106" s="1">
        <v>0</v>
      </c>
      <c r="AC106" s="1">
        <v>0</v>
      </c>
      <c r="AD106" s="1">
        <v>0</v>
      </c>
      <c r="AE106" s="1">
        <v>0</v>
      </c>
      <c r="AF106" s="1">
        <v>0</v>
      </c>
      <c r="AG106" s="1">
        <v>0</v>
      </c>
      <c r="AH106" s="1">
        <v>0</v>
      </c>
      <c r="AI106" s="1">
        <v>0</v>
      </c>
      <c r="AJ106" s="1">
        <v>0</v>
      </c>
      <c r="AK106" s="1">
        <v>0</v>
      </c>
      <c r="AL106" s="1">
        <v>0</v>
      </c>
      <c r="AM106" s="1">
        <v>0</v>
      </c>
      <c r="AN106" s="1">
        <v>0</v>
      </c>
      <c r="AO106" s="1">
        <v>1</v>
      </c>
      <c r="AP106" s="1">
        <v>0</v>
      </c>
      <c r="AQ106" s="1">
        <v>3</v>
      </c>
      <c r="AR106" s="1">
        <v>0</v>
      </c>
      <c r="AS106" s="1">
        <v>0</v>
      </c>
      <c r="AT106" s="1">
        <v>0</v>
      </c>
      <c r="AU106" s="1">
        <v>0</v>
      </c>
      <c r="AV106" s="1">
        <v>0</v>
      </c>
      <c r="AW106" s="1">
        <v>1</v>
      </c>
      <c r="AX106" s="1">
        <v>0</v>
      </c>
      <c r="AY106" s="1">
        <v>0</v>
      </c>
      <c r="AZ106" s="1">
        <v>0</v>
      </c>
      <c r="BA106" s="1">
        <v>0</v>
      </c>
      <c r="BB106" s="1">
        <v>0</v>
      </c>
      <c r="BC106" s="1">
        <v>0</v>
      </c>
      <c r="BD106" s="1">
        <v>0</v>
      </c>
      <c r="BE106" s="1">
        <v>3</v>
      </c>
      <c r="BF106" s="1">
        <v>0</v>
      </c>
      <c r="BG106" s="1">
        <v>0</v>
      </c>
      <c r="BH106" s="1">
        <v>0</v>
      </c>
      <c r="BI106" s="1">
        <v>2</v>
      </c>
      <c r="BJ106" s="1">
        <v>0</v>
      </c>
      <c r="BK106" s="1">
        <v>2</v>
      </c>
      <c r="BL106" s="1">
        <v>4</v>
      </c>
      <c r="BM106" s="1">
        <v>0</v>
      </c>
      <c r="BN106" s="1">
        <v>0</v>
      </c>
      <c r="BO106" s="1">
        <v>0</v>
      </c>
    </row>
    <row r="107" hidden="1" spans="1:67">
      <c r="A107" s="18">
        <v>43718</v>
      </c>
      <c r="B107" s="2">
        <v>43506</v>
      </c>
      <c r="C107" s="18">
        <v>43751</v>
      </c>
      <c r="D107" s="18">
        <f ca="1" t="shared" ref="D107:I107" si="102">C107</f>
        <v>43751</v>
      </c>
      <c r="E107" s="18">
        <v>43752</v>
      </c>
      <c r="F107" s="18">
        <f ca="1" t="shared" si="102"/>
        <v>43752</v>
      </c>
      <c r="G107" s="18">
        <v>43778</v>
      </c>
      <c r="H107" s="18">
        <v>43778</v>
      </c>
      <c r="I107" s="18">
        <f ca="1" t="shared" si="102"/>
        <v>43778</v>
      </c>
      <c r="J107" s="18">
        <f ca="1" t="shared" si="66"/>
        <v>43778</v>
      </c>
      <c r="L107" s="1">
        <v>36.4</v>
      </c>
      <c r="M107" s="1">
        <v>138</v>
      </c>
      <c r="N107" s="1">
        <v>35.1</v>
      </c>
      <c r="O107" s="1">
        <v>3604.9</v>
      </c>
      <c r="P107" s="1">
        <v>0</v>
      </c>
      <c r="Q107" s="1">
        <v>0</v>
      </c>
      <c r="R107" s="1">
        <v>0</v>
      </c>
      <c r="S107" s="1">
        <v>0</v>
      </c>
      <c r="T107" s="1">
        <v>0</v>
      </c>
      <c r="U107" s="1" t="s">
        <v>3329</v>
      </c>
      <c r="V107" s="1" t="s">
        <v>3329</v>
      </c>
      <c r="W107" s="1">
        <v>1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0</v>
      </c>
      <c r="AD107" s="1">
        <v>0</v>
      </c>
      <c r="AE107" s="1">
        <v>0</v>
      </c>
      <c r="AF107" s="1">
        <v>0</v>
      </c>
      <c r="AG107" s="1">
        <v>0</v>
      </c>
      <c r="AH107" s="1">
        <v>0</v>
      </c>
      <c r="AI107" s="1">
        <v>0</v>
      </c>
      <c r="AJ107" s="1">
        <v>0</v>
      </c>
      <c r="AK107" s="1">
        <v>0</v>
      </c>
      <c r="AL107" s="1">
        <v>0</v>
      </c>
      <c r="AM107" s="1">
        <v>0</v>
      </c>
      <c r="AN107" s="1">
        <v>0</v>
      </c>
      <c r="AO107" s="1">
        <v>1</v>
      </c>
      <c r="AP107" s="1">
        <v>0</v>
      </c>
      <c r="AQ107" s="1">
        <v>3</v>
      </c>
      <c r="AR107" s="1">
        <v>0</v>
      </c>
      <c r="AS107" s="1">
        <v>0</v>
      </c>
      <c r="AT107" s="1">
        <v>0</v>
      </c>
      <c r="AU107" s="1">
        <v>0</v>
      </c>
      <c r="AV107" s="1">
        <v>0</v>
      </c>
      <c r="AW107" s="1">
        <v>1</v>
      </c>
      <c r="AX107" s="1">
        <v>0</v>
      </c>
      <c r="AY107" s="1">
        <v>0</v>
      </c>
      <c r="AZ107" s="1">
        <v>0</v>
      </c>
      <c r="BA107" s="1">
        <v>0</v>
      </c>
      <c r="BB107" s="1">
        <v>0</v>
      </c>
      <c r="BC107" s="1">
        <v>0</v>
      </c>
      <c r="BD107" s="1">
        <v>0</v>
      </c>
      <c r="BE107" s="1">
        <v>3</v>
      </c>
      <c r="BF107" s="1">
        <v>0</v>
      </c>
      <c r="BG107" s="1">
        <v>6</v>
      </c>
      <c r="BH107" s="1">
        <v>0</v>
      </c>
      <c r="BI107" s="1">
        <v>0</v>
      </c>
      <c r="BJ107" s="1">
        <v>0</v>
      </c>
      <c r="BK107" s="1">
        <v>0</v>
      </c>
      <c r="BL107" s="1">
        <v>0</v>
      </c>
      <c r="BM107" s="1">
        <v>0</v>
      </c>
      <c r="BN107" s="1">
        <v>0</v>
      </c>
      <c r="BO107" s="1">
        <v>0</v>
      </c>
    </row>
    <row r="108" hidden="1" spans="1:67">
      <c r="A108" s="18">
        <v>43718</v>
      </c>
      <c r="B108" s="2">
        <v>43506</v>
      </c>
      <c r="C108" s="18">
        <v>43751</v>
      </c>
      <c r="D108" s="18">
        <f ca="1" t="shared" ref="D108:I108" si="103">C108</f>
        <v>43751</v>
      </c>
      <c r="E108" s="18">
        <v>43752</v>
      </c>
      <c r="F108" s="18">
        <f ca="1" t="shared" si="103"/>
        <v>43752</v>
      </c>
      <c r="G108" s="18">
        <v>43751</v>
      </c>
      <c r="H108" s="18">
        <v>43778</v>
      </c>
      <c r="I108" s="18">
        <f ca="1" t="shared" si="103"/>
        <v>43778</v>
      </c>
      <c r="J108" s="18">
        <f ca="1" t="shared" si="66"/>
        <v>43778</v>
      </c>
      <c r="L108" s="1">
        <v>43</v>
      </c>
      <c r="M108" s="1" t="s">
        <v>3389</v>
      </c>
      <c r="N108" s="1">
        <v>41.1</v>
      </c>
      <c r="O108" s="1">
        <v>3647.9</v>
      </c>
      <c r="P108" s="1">
        <v>0</v>
      </c>
      <c r="Q108" s="1">
        <v>0</v>
      </c>
      <c r="R108" s="1">
        <v>0</v>
      </c>
      <c r="S108" s="1">
        <v>0</v>
      </c>
      <c r="T108" s="1">
        <v>0</v>
      </c>
      <c r="U108" s="1">
        <v>0</v>
      </c>
      <c r="V108" s="1" t="s">
        <v>3329</v>
      </c>
      <c r="W108" s="1">
        <v>0</v>
      </c>
      <c r="X108" s="1">
        <v>1</v>
      </c>
      <c r="Y108" s="1">
        <v>0</v>
      </c>
      <c r="Z108" s="1">
        <v>0</v>
      </c>
      <c r="AA108" s="1">
        <v>1</v>
      </c>
      <c r="AB108" s="1">
        <v>0</v>
      </c>
      <c r="AC108" s="1">
        <v>0</v>
      </c>
      <c r="AD108" s="1">
        <v>0</v>
      </c>
      <c r="AE108" s="1">
        <v>0</v>
      </c>
      <c r="AF108" s="1">
        <v>0</v>
      </c>
      <c r="AG108" s="1">
        <v>0</v>
      </c>
      <c r="AH108" s="1">
        <v>0</v>
      </c>
      <c r="AI108" s="1">
        <v>0</v>
      </c>
      <c r="AJ108" s="1">
        <v>0</v>
      </c>
      <c r="AK108" s="1">
        <v>0</v>
      </c>
      <c r="AL108" s="1">
        <v>0</v>
      </c>
      <c r="AM108" s="1">
        <v>0</v>
      </c>
      <c r="AN108" s="1">
        <v>0</v>
      </c>
      <c r="AO108" s="1">
        <v>1</v>
      </c>
      <c r="AP108" s="1">
        <v>0</v>
      </c>
      <c r="AQ108" s="1">
        <v>3</v>
      </c>
      <c r="AR108" s="1">
        <v>0</v>
      </c>
      <c r="AS108" s="1">
        <v>0</v>
      </c>
      <c r="AT108" s="1">
        <v>0</v>
      </c>
      <c r="AU108" s="1">
        <v>0</v>
      </c>
      <c r="AV108" s="1">
        <v>0</v>
      </c>
      <c r="AW108" s="1">
        <v>1</v>
      </c>
      <c r="AX108" s="1">
        <v>0</v>
      </c>
      <c r="AY108" s="1">
        <v>0</v>
      </c>
      <c r="AZ108" s="1">
        <v>0</v>
      </c>
      <c r="BA108" s="1">
        <v>0</v>
      </c>
      <c r="BB108" s="1">
        <v>0</v>
      </c>
      <c r="BC108" s="1">
        <v>0</v>
      </c>
      <c r="BD108" s="1">
        <v>0</v>
      </c>
      <c r="BE108" s="1">
        <v>3</v>
      </c>
      <c r="BF108" s="1">
        <v>0</v>
      </c>
      <c r="BG108" s="1">
        <v>0</v>
      </c>
      <c r="BH108" s="1">
        <v>0</v>
      </c>
      <c r="BI108" s="1">
        <v>2</v>
      </c>
      <c r="BJ108" s="1">
        <v>0</v>
      </c>
      <c r="BK108" s="1">
        <v>6</v>
      </c>
      <c r="BL108" s="1">
        <v>4</v>
      </c>
      <c r="BM108" s="1">
        <v>0</v>
      </c>
      <c r="BN108" s="1">
        <v>0</v>
      </c>
      <c r="BO108" s="1">
        <v>0</v>
      </c>
    </row>
    <row r="109" hidden="1" spans="1:67">
      <c r="A109" s="18">
        <v>43718</v>
      </c>
      <c r="B109" s="2">
        <v>43506</v>
      </c>
      <c r="C109" s="18">
        <v>43751</v>
      </c>
      <c r="D109" s="18">
        <f ca="1" t="shared" ref="D109:I109" si="104">C109</f>
        <v>43751</v>
      </c>
      <c r="E109" s="18">
        <v>43752</v>
      </c>
      <c r="F109" s="18">
        <f ca="1" t="shared" si="104"/>
        <v>43752</v>
      </c>
      <c r="G109" s="18">
        <v>43778</v>
      </c>
      <c r="H109" s="18">
        <v>43778</v>
      </c>
      <c r="I109" s="18">
        <f ca="1" t="shared" si="104"/>
        <v>43778</v>
      </c>
      <c r="J109" s="18">
        <f ca="1" t="shared" si="66"/>
        <v>43778</v>
      </c>
      <c r="L109" s="1">
        <v>43.7</v>
      </c>
      <c r="M109" s="1">
        <v>139</v>
      </c>
      <c r="N109" s="1">
        <v>38</v>
      </c>
      <c r="O109" s="1">
        <v>3691.6</v>
      </c>
      <c r="P109" s="1">
        <v>0</v>
      </c>
      <c r="Q109" s="1">
        <v>0</v>
      </c>
      <c r="R109" s="1">
        <v>0</v>
      </c>
      <c r="S109" s="1">
        <v>0</v>
      </c>
      <c r="T109" s="1">
        <v>0</v>
      </c>
      <c r="U109" s="1" t="s">
        <v>3329</v>
      </c>
      <c r="V109" s="1" t="s">
        <v>3329</v>
      </c>
      <c r="W109" s="1">
        <v>1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0</v>
      </c>
      <c r="AD109" s="1">
        <v>0</v>
      </c>
      <c r="AE109" s="1">
        <v>0</v>
      </c>
      <c r="AF109" s="1">
        <v>0</v>
      </c>
      <c r="AG109" s="1">
        <v>0</v>
      </c>
      <c r="AH109" s="1">
        <v>0</v>
      </c>
      <c r="AI109" s="1">
        <v>0</v>
      </c>
      <c r="AJ109" s="1">
        <v>0</v>
      </c>
      <c r="AK109" s="1">
        <v>1</v>
      </c>
      <c r="AL109" s="1">
        <v>0</v>
      </c>
      <c r="AM109" s="1">
        <v>0</v>
      </c>
      <c r="AN109" s="1">
        <v>0</v>
      </c>
      <c r="AO109" s="1">
        <v>1</v>
      </c>
      <c r="AP109" s="1">
        <v>0</v>
      </c>
      <c r="AQ109" s="1">
        <v>3</v>
      </c>
      <c r="AR109" s="1">
        <v>0</v>
      </c>
      <c r="AS109" s="1">
        <v>0</v>
      </c>
      <c r="AT109" s="1">
        <v>0</v>
      </c>
      <c r="AU109" s="1">
        <v>0</v>
      </c>
      <c r="AV109" s="1">
        <v>0</v>
      </c>
      <c r="AW109" s="1">
        <v>1</v>
      </c>
      <c r="AX109" s="1">
        <v>0</v>
      </c>
      <c r="AY109" s="1">
        <v>0</v>
      </c>
      <c r="AZ109" s="1">
        <v>0</v>
      </c>
      <c r="BA109" s="1">
        <v>0</v>
      </c>
      <c r="BB109" s="1">
        <v>0</v>
      </c>
      <c r="BC109" s="1">
        <v>0</v>
      </c>
      <c r="BD109" s="1">
        <v>0</v>
      </c>
      <c r="BE109" s="1">
        <v>3</v>
      </c>
      <c r="BF109" s="1">
        <v>0</v>
      </c>
      <c r="BG109" s="1">
        <v>0</v>
      </c>
      <c r="BH109" s="1">
        <v>0</v>
      </c>
      <c r="BI109" s="1">
        <v>0</v>
      </c>
      <c r="BJ109" s="1">
        <v>0</v>
      </c>
      <c r="BK109" s="1">
        <v>0</v>
      </c>
      <c r="BL109" s="1">
        <v>0</v>
      </c>
      <c r="BM109" s="1">
        <v>0</v>
      </c>
      <c r="BN109" s="1">
        <v>0</v>
      </c>
      <c r="BO109" s="1">
        <v>0</v>
      </c>
    </row>
    <row r="110" hidden="1" spans="1:67">
      <c r="A110" s="18">
        <v>43718</v>
      </c>
      <c r="B110" s="2">
        <v>43506</v>
      </c>
      <c r="C110" s="18">
        <v>43751</v>
      </c>
      <c r="D110" s="18">
        <f ca="1" t="shared" ref="D110:I110" si="105">C110</f>
        <v>43751</v>
      </c>
      <c r="E110" s="18">
        <v>43752</v>
      </c>
      <c r="F110" s="18">
        <f ca="1" t="shared" si="105"/>
        <v>43752</v>
      </c>
      <c r="G110" s="18">
        <v>43751</v>
      </c>
      <c r="H110" s="18">
        <v>43778</v>
      </c>
      <c r="I110" s="18">
        <f ca="1" t="shared" si="105"/>
        <v>43778</v>
      </c>
      <c r="J110" s="18">
        <f ca="1" t="shared" si="66"/>
        <v>43778</v>
      </c>
      <c r="L110" s="1">
        <v>32</v>
      </c>
      <c r="M110" s="1" t="s">
        <v>3390</v>
      </c>
      <c r="N110" s="1">
        <v>39.2</v>
      </c>
      <c r="O110" s="1">
        <v>3723.6</v>
      </c>
      <c r="P110" s="1">
        <v>0</v>
      </c>
      <c r="Q110" s="1">
        <v>0</v>
      </c>
      <c r="R110" s="1">
        <v>0</v>
      </c>
      <c r="S110" s="1">
        <v>0</v>
      </c>
      <c r="T110" s="1">
        <v>0</v>
      </c>
      <c r="U110" s="1">
        <v>0</v>
      </c>
      <c r="V110" s="1" t="s">
        <v>3329</v>
      </c>
      <c r="W110" s="1">
        <v>0</v>
      </c>
      <c r="X110" s="1">
        <v>1</v>
      </c>
      <c r="Y110" s="1">
        <v>0</v>
      </c>
      <c r="Z110" s="1">
        <v>0</v>
      </c>
      <c r="AA110" s="1">
        <v>1</v>
      </c>
      <c r="AB110" s="1">
        <v>0</v>
      </c>
      <c r="AC110" s="1">
        <v>0</v>
      </c>
      <c r="AD110" s="1">
        <v>0</v>
      </c>
      <c r="AE110" s="1">
        <v>0</v>
      </c>
      <c r="AF110" s="1">
        <v>0</v>
      </c>
      <c r="AG110" s="1">
        <v>0</v>
      </c>
      <c r="AH110" s="1">
        <v>0</v>
      </c>
      <c r="AI110" s="1">
        <v>0</v>
      </c>
      <c r="AJ110" s="1">
        <v>0</v>
      </c>
      <c r="AK110" s="1">
        <v>0</v>
      </c>
      <c r="AL110" s="1">
        <v>0</v>
      </c>
      <c r="AM110" s="1">
        <v>0</v>
      </c>
      <c r="AN110" s="1">
        <v>0</v>
      </c>
      <c r="AO110" s="1">
        <v>1</v>
      </c>
      <c r="AP110" s="1">
        <v>0</v>
      </c>
      <c r="AQ110" s="1">
        <v>3</v>
      </c>
      <c r="AR110" s="1">
        <v>0</v>
      </c>
      <c r="AS110" s="1">
        <v>0</v>
      </c>
      <c r="AT110" s="1">
        <v>0</v>
      </c>
      <c r="AU110" s="1">
        <v>0</v>
      </c>
      <c r="AV110" s="1">
        <v>0</v>
      </c>
      <c r="AW110" s="1">
        <v>1</v>
      </c>
      <c r="AX110" s="1">
        <v>0</v>
      </c>
      <c r="AY110" s="1">
        <v>0</v>
      </c>
      <c r="AZ110" s="1">
        <v>0</v>
      </c>
      <c r="BA110" s="1">
        <v>0</v>
      </c>
      <c r="BB110" s="1">
        <v>0</v>
      </c>
      <c r="BC110" s="1">
        <v>0</v>
      </c>
      <c r="BD110" s="1">
        <v>0</v>
      </c>
      <c r="BE110" s="1">
        <v>3</v>
      </c>
      <c r="BF110" s="1">
        <v>0</v>
      </c>
      <c r="BG110" s="1">
        <v>0</v>
      </c>
      <c r="BH110" s="1">
        <v>0</v>
      </c>
      <c r="BI110" s="1">
        <v>2</v>
      </c>
      <c r="BJ110" s="1">
        <v>0</v>
      </c>
      <c r="BK110" s="1">
        <v>2</v>
      </c>
      <c r="BL110" s="1">
        <v>4</v>
      </c>
      <c r="BM110" s="1">
        <v>0</v>
      </c>
      <c r="BN110" s="1">
        <v>0</v>
      </c>
      <c r="BO110" s="1">
        <v>0</v>
      </c>
    </row>
    <row r="111" hidden="1" spans="1:67">
      <c r="A111" s="18">
        <v>43718</v>
      </c>
      <c r="B111" s="2">
        <v>43506</v>
      </c>
      <c r="C111" s="18">
        <v>43751</v>
      </c>
      <c r="D111" s="18">
        <f ca="1" t="shared" ref="D111:I111" si="106">C111</f>
        <v>43751</v>
      </c>
      <c r="E111" s="18">
        <v>43752</v>
      </c>
      <c r="F111" s="18">
        <f ca="1" t="shared" si="106"/>
        <v>43752</v>
      </c>
      <c r="G111" s="18">
        <v>43778</v>
      </c>
      <c r="H111" s="18">
        <v>43778</v>
      </c>
      <c r="I111" s="18">
        <f ca="1" t="shared" si="106"/>
        <v>43778</v>
      </c>
      <c r="J111" s="18">
        <f ca="1" t="shared" si="66"/>
        <v>43778</v>
      </c>
      <c r="L111" s="1">
        <v>31.5</v>
      </c>
      <c r="M111" s="1" t="s">
        <v>3391</v>
      </c>
      <c r="N111" s="1">
        <v>31.6</v>
      </c>
      <c r="O111" s="1">
        <v>3755.1</v>
      </c>
      <c r="P111" s="1">
        <v>9</v>
      </c>
      <c r="Q111" s="1">
        <v>3</v>
      </c>
      <c r="R111" s="1">
        <v>0</v>
      </c>
      <c r="S111" s="1">
        <v>0</v>
      </c>
      <c r="T111" s="1">
        <v>0</v>
      </c>
      <c r="U111" s="1" t="s">
        <v>3347</v>
      </c>
      <c r="V111" s="1" t="s">
        <v>3347</v>
      </c>
      <c r="W111" s="1">
        <v>1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0</v>
      </c>
      <c r="AD111" s="1">
        <v>0</v>
      </c>
      <c r="AE111" s="1">
        <v>0</v>
      </c>
      <c r="AF111" s="1">
        <v>0</v>
      </c>
      <c r="AG111" s="1">
        <v>0</v>
      </c>
      <c r="AH111" s="1">
        <v>0</v>
      </c>
      <c r="AI111" s="1">
        <v>0</v>
      </c>
      <c r="AJ111" s="1">
        <v>0</v>
      </c>
      <c r="AK111" s="1">
        <v>0</v>
      </c>
      <c r="AL111" s="1">
        <v>0</v>
      </c>
      <c r="AM111" s="1">
        <v>0</v>
      </c>
      <c r="AN111" s="1">
        <v>0</v>
      </c>
      <c r="AO111" s="1">
        <v>1</v>
      </c>
      <c r="AP111" s="1">
        <v>0</v>
      </c>
      <c r="AQ111" s="1">
        <v>3</v>
      </c>
      <c r="AR111" s="1">
        <v>0</v>
      </c>
      <c r="AS111" s="1">
        <v>0</v>
      </c>
      <c r="AT111" s="1">
        <v>3</v>
      </c>
      <c r="AU111" s="1">
        <v>0</v>
      </c>
      <c r="AV111" s="1">
        <v>0</v>
      </c>
      <c r="AW111" s="1">
        <v>1</v>
      </c>
      <c r="AX111" s="1">
        <v>0</v>
      </c>
      <c r="AY111" s="1">
        <v>0</v>
      </c>
      <c r="AZ111" s="1">
        <v>0</v>
      </c>
      <c r="BA111" s="1">
        <v>0</v>
      </c>
      <c r="BB111" s="1">
        <v>2</v>
      </c>
      <c r="BC111" s="1">
        <v>6</v>
      </c>
      <c r="BD111" s="1">
        <v>0</v>
      </c>
      <c r="BE111" s="1">
        <v>3</v>
      </c>
      <c r="BF111" s="1">
        <v>0</v>
      </c>
      <c r="BG111" s="1">
        <v>0</v>
      </c>
      <c r="BH111" s="1">
        <v>0</v>
      </c>
      <c r="BI111" s="1">
        <v>0</v>
      </c>
      <c r="BJ111" s="1">
        <v>0</v>
      </c>
      <c r="BK111" s="1">
        <v>0</v>
      </c>
      <c r="BL111" s="1">
        <v>0</v>
      </c>
      <c r="BM111" s="1">
        <v>0</v>
      </c>
      <c r="BN111" s="1" t="s">
        <v>3392</v>
      </c>
      <c r="BO111" s="1">
        <v>0</v>
      </c>
    </row>
    <row r="112" hidden="1" spans="1:67">
      <c r="A112" s="18">
        <v>43718</v>
      </c>
      <c r="B112" s="2">
        <v>43506</v>
      </c>
      <c r="C112" s="18">
        <v>43751</v>
      </c>
      <c r="D112" s="18">
        <f ca="1" t="shared" ref="D112:I112" si="107">C112</f>
        <v>43751</v>
      </c>
      <c r="E112" s="18">
        <v>43752</v>
      </c>
      <c r="F112" s="18">
        <f ca="1" t="shared" si="107"/>
        <v>43752</v>
      </c>
      <c r="G112" s="18">
        <v>43778</v>
      </c>
      <c r="H112" s="18">
        <v>43778</v>
      </c>
      <c r="I112" s="18">
        <f ca="1" t="shared" si="107"/>
        <v>43778</v>
      </c>
      <c r="J112" s="18">
        <f ca="1" t="shared" si="66"/>
        <v>43778</v>
      </c>
      <c r="L112" s="1">
        <v>7</v>
      </c>
      <c r="M112" s="1">
        <v>140</v>
      </c>
      <c r="N112" s="1">
        <v>8</v>
      </c>
      <c r="O112" s="1">
        <v>3762.1</v>
      </c>
      <c r="P112" s="1">
        <v>0</v>
      </c>
      <c r="Q112" s="1">
        <v>0</v>
      </c>
      <c r="R112" s="1">
        <v>0</v>
      </c>
      <c r="S112" s="1">
        <v>0</v>
      </c>
      <c r="T112" s="1">
        <v>0</v>
      </c>
      <c r="U112" s="1" t="s">
        <v>3329</v>
      </c>
      <c r="V112" s="1" t="s">
        <v>3329</v>
      </c>
      <c r="W112" s="1">
        <v>1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0</v>
      </c>
      <c r="AD112" s="1">
        <v>0</v>
      </c>
      <c r="AE112" s="1">
        <v>0</v>
      </c>
      <c r="AF112" s="1">
        <v>0</v>
      </c>
      <c r="AG112" s="1">
        <v>0</v>
      </c>
      <c r="AH112" s="1">
        <v>0</v>
      </c>
      <c r="AI112" s="1">
        <v>0</v>
      </c>
      <c r="AJ112" s="1">
        <v>0</v>
      </c>
      <c r="AK112" s="1">
        <v>0</v>
      </c>
      <c r="AL112" s="1">
        <v>0</v>
      </c>
      <c r="AM112" s="1">
        <v>0</v>
      </c>
      <c r="AN112" s="1">
        <v>0</v>
      </c>
      <c r="AO112" s="1">
        <v>1</v>
      </c>
      <c r="AP112" s="1">
        <v>0</v>
      </c>
      <c r="AQ112" s="1">
        <v>3</v>
      </c>
      <c r="AR112" s="1">
        <v>0</v>
      </c>
      <c r="AS112" s="1">
        <v>0</v>
      </c>
      <c r="AT112" s="1">
        <v>0</v>
      </c>
      <c r="AU112" s="1">
        <v>0</v>
      </c>
      <c r="AV112" s="1">
        <v>1</v>
      </c>
      <c r="AW112" s="1">
        <v>1</v>
      </c>
      <c r="AX112" s="1">
        <v>0</v>
      </c>
      <c r="AY112" s="1">
        <v>0</v>
      </c>
      <c r="AZ112" s="1">
        <v>0</v>
      </c>
      <c r="BA112" s="1">
        <v>0</v>
      </c>
      <c r="BB112" s="1">
        <v>0</v>
      </c>
      <c r="BC112" s="1">
        <v>0</v>
      </c>
      <c r="BD112" s="1">
        <v>0</v>
      </c>
      <c r="BE112" s="1">
        <v>3</v>
      </c>
      <c r="BF112" s="1">
        <v>0</v>
      </c>
      <c r="BG112" s="1">
        <v>0</v>
      </c>
      <c r="BH112" s="1">
        <v>0</v>
      </c>
      <c r="BI112" s="1">
        <v>0</v>
      </c>
      <c r="BJ112" s="1">
        <v>0</v>
      </c>
      <c r="BK112" s="1">
        <v>0</v>
      </c>
      <c r="BL112" s="1">
        <v>0</v>
      </c>
      <c r="BM112" s="1">
        <v>0</v>
      </c>
      <c r="BN112" s="1">
        <v>0</v>
      </c>
      <c r="BO112" s="1">
        <v>0</v>
      </c>
    </row>
    <row r="113" hidden="1" spans="1:67">
      <c r="A113" s="18">
        <v>43719</v>
      </c>
      <c r="B113" s="2">
        <v>43506</v>
      </c>
      <c r="C113" s="18">
        <v>43751</v>
      </c>
      <c r="D113" s="18">
        <f ca="1" t="shared" ref="D113:I113" si="108">C113</f>
        <v>43751</v>
      </c>
      <c r="E113" s="18">
        <v>43752</v>
      </c>
      <c r="F113" s="18">
        <f ca="1" t="shared" si="108"/>
        <v>43752</v>
      </c>
      <c r="G113" s="18">
        <v>43751</v>
      </c>
      <c r="H113" s="18">
        <v>43778</v>
      </c>
      <c r="I113" s="18">
        <f ca="1" t="shared" si="108"/>
        <v>43778</v>
      </c>
      <c r="J113" s="18">
        <f ca="1" t="shared" si="66"/>
        <v>43778</v>
      </c>
      <c r="L113" s="1">
        <v>39</v>
      </c>
      <c r="M113" s="1" t="s">
        <v>3393</v>
      </c>
      <c r="N113" s="1">
        <v>39.2</v>
      </c>
      <c r="O113" s="1">
        <v>3801.1</v>
      </c>
      <c r="P113" s="1">
        <v>0</v>
      </c>
      <c r="Q113" s="1">
        <v>0</v>
      </c>
      <c r="R113" s="1">
        <v>0</v>
      </c>
      <c r="S113" s="1">
        <v>0</v>
      </c>
      <c r="T113" s="1">
        <v>0</v>
      </c>
      <c r="U113" s="1">
        <v>0</v>
      </c>
      <c r="V113" s="1" t="s">
        <v>3329</v>
      </c>
      <c r="W113" s="1">
        <v>0</v>
      </c>
      <c r="X113" s="1">
        <v>1</v>
      </c>
      <c r="Y113" s="1">
        <v>0</v>
      </c>
      <c r="Z113" s="1">
        <v>1</v>
      </c>
      <c r="AA113" s="1">
        <v>0</v>
      </c>
      <c r="AB113" s="1">
        <v>0</v>
      </c>
      <c r="AC113" s="1">
        <v>0</v>
      </c>
      <c r="AD113" s="1">
        <v>0</v>
      </c>
      <c r="AE113" s="1">
        <v>0</v>
      </c>
      <c r="AF113" s="1">
        <v>0</v>
      </c>
      <c r="AG113" s="1">
        <v>0</v>
      </c>
      <c r="AH113" s="1">
        <v>0</v>
      </c>
      <c r="AI113" s="1">
        <v>0</v>
      </c>
      <c r="AJ113" s="1">
        <v>0</v>
      </c>
      <c r="AK113" s="1">
        <v>0</v>
      </c>
      <c r="AL113" s="1">
        <v>0</v>
      </c>
      <c r="AM113" s="1">
        <v>0</v>
      </c>
      <c r="AN113" s="1">
        <v>0</v>
      </c>
      <c r="AO113" s="1">
        <v>1</v>
      </c>
      <c r="AP113" s="1">
        <v>0</v>
      </c>
      <c r="AQ113" s="1">
        <v>3</v>
      </c>
      <c r="AR113" s="1">
        <v>0</v>
      </c>
      <c r="AS113" s="1">
        <v>0</v>
      </c>
      <c r="AT113" s="1">
        <v>0</v>
      </c>
      <c r="AU113" s="1">
        <v>0</v>
      </c>
      <c r="AV113" s="1">
        <v>0</v>
      </c>
      <c r="AW113" s="1">
        <v>1</v>
      </c>
      <c r="AX113" s="1">
        <v>0</v>
      </c>
      <c r="AY113" s="1">
        <v>0</v>
      </c>
      <c r="AZ113" s="1">
        <v>0</v>
      </c>
      <c r="BA113" s="1">
        <v>0</v>
      </c>
      <c r="BB113" s="1">
        <v>0</v>
      </c>
      <c r="BC113" s="1">
        <v>0</v>
      </c>
      <c r="BD113" s="1">
        <v>0</v>
      </c>
      <c r="BE113" s="1">
        <v>3</v>
      </c>
      <c r="BF113" s="1">
        <v>0</v>
      </c>
      <c r="BG113" s="1">
        <v>0</v>
      </c>
      <c r="BH113" s="1">
        <v>0</v>
      </c>
      <c r="BI113" s="1">
        <v>0</v>
      </c>
      <c r="BJ113" s="1">
        <v>0</v>
      </c>
      <c r="BK113" s="1">
        <v>0</v>
      </c>
      <c r="BL113" s="1">
        <v>0</v>
      </c>
      <c r="BM113" s="1">
        <v>0</v>
      </c>
      <c r="BN113" s="1">
        <v>0</v>
      </c>
      <c r="BO113" s="1">
        <v>0</v>
      </c>
    </row>
    <row r="114" hidden="1" spans="1:67">
      <c r="A114" s="18">
        <v>43719</v>
      </c>
      <c r="B114" s="2">
        <v>43506</v>
      </c>
      <c r="C114" s="18">
        <v>43751</v>
      </c>
      <c r="D114" s="18">
        <f ca="1" t="shared" ref="D114:I114" si="109">C114</f>
        <v>43751</v>
      </c>
      <c r="E114" s="18">
        <v>43752</v>
      </c>
      <c r="F114" s="18">
        <f ca="1" t="shared" si="109"/>
        <v>43752</v>
      </c>
      <c r="G114" s="18">
        <v>43778</v>
      </c>
      <c r="H114" s="18">
        <v>43778</v>
      </c>
      <c r="I114" s="18">
        <f ca="1" t="shared" si="109"/>
        <v>43778</v>
      </c>
      <c r="J114" s="18">
        <f ca="1" t="shared" si="66"/>
        <v>43778</v>
      </c>
      <c r="L114" s="1">
        <v>38.9</v>
      </c>
      <c r="M114" s="1">
        <v>141</v>
      </c>
      <c r="N114" s="1">
        <v>37.2</v>
      </c>
      <c r="O114" s="1">
        <v>3840</v>
      </c>
      <c r="P114" s="1">
        <v>0</v>
      </c>
      <c r="Q114" s="1">
        <v>0</v>
      </c>
      <c r="R114" s="1">
        <v>0</v>
      </c>
      <c r="S114" s="1">
        <v>0</v>
      </c>
      <c r="T114" s="1">
        <v>0</v>
      </c>
      <c r="U114" s="1" t="s">
        <v>3329</v>
      </c>
      <c r="V114" s="1" t="s">
        <v>3329</v>
      </c>
      <c r="W114" s="1">
        <v>1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0</v>
      </c>
      <c r="AD114" s="1">
        <v>0</v>
      </c>
      <c r="AE114" s="1">
        <v>0</v>
      </c>
      <c r="AF114" s="1">
        <v>0</v>
      </c>
      <c r="AG114" s="1">
        <v>0</v>
      </c>
      <c r="AH114" s="1">
        <v>0</v>
      </c>
      <c r="AI114" s="1">
        <v>0</v>
      </c>
      <c r="AJ114" s="1">
        <v>0</v>
      </c>
      <c r="AK114" s="1">
        <v>0</v>
      </c>
      <c r="AL114" s="1">
        <v>0</v>
      </c>
      <c r="AM114" s="1">
        <v>0</v>
      </c>
      <c r="AN114" s="1">
        <v>0</v>
      </c>
      <c r="AO114" s="1">
        <v>1</v>
      </c>
      <c r="AP114" s="1">
        <v>0</v>
      </c>
      <c r="AQ114" s="1">
        <v>3</v>
      </c>
      <c r="AR114" s="1">
        <v>0</v>
      </c>
      <c r="AS114" s="1">
        <v>0</v>
      </c>
      <c r="AT114" s="1">
        <v>0</v>
      </c>
      <c r="AU114" s="1">
        <v>0</v>
      </c>
      <c r="AV114" s="1">
        <v>0</v>
      </c>
      <c r="AW114" s="1">
        <v>1</v>
      </c>
      <c r="AX114" s="1">
        <v>0</v>
      </c>
      <c r="AY114" s="1">
        <v>0</v>
      </c>
      <c r="AZ114" s="1">
        <v>0</v>
      </c>
      <c r="BA114" s="1">
        <v>0</v>
      </c>
      <c r="BB114" s="1">
        <v>0</v>
      </c>
      <c r="BC114" s="1">
        <v>0</v>
      </c>
      <c r="BD114" s="1">
        <v>0</v>
      </c>
      <c r="BE114" s="1">
        <v>3</v>
      </c>
      <c r="BF114" s="1">
        <v>0</v>
      </c>
      <c r="BG114" s="1">
        <v>0</v>
      </c>
      <c r="BH114" s="1">
        <v>0</v>
      </c>
      <c r="BI114" s="1">
        <v>0</v>
      </c>
      <c r="BJ114" s="1">
        <v>0</v>
      </c>
      <c r="BK114" s="1">
        <v>0</v>
      </c>
      <c r="BL114" s="1">
        <v>0</v>
      </c>
      <c r="BM114" s="1">
        <v>0</v>
      </c>
      <c r="BN114" s="1">
        <v>0</v>
      </c>
      <c r="BO114" s="1">
        <v>0</v>
      </c>
    </row>
    <row r="115" hidden="1" spans="1:67">
      <c r="A115" s="18">
        <v>43719</v>
      </c>
      <c r="B115" s="2">
        <v>43506</v>
      </c>
      <c r="C115" s="18">
        <v>43751</v>
      </c>
      <c r="D115" s="18">
        <f ca="1" t="shared" ref="D115:I115" si="110">C115</f>
        <v>43751</v>
      </c>
      <c r="E115" s="18">
        <v>43752</v>
      </c>
      <c r="F115" s="18">
        <f ca="1" t="shared" si="110"/>
        <v>43752</v>
      </c>
      <c r="G115" s="18">
        <v>43751</v>
      </c>
      <c r="H115" s="18">
        <v>43778</v>
      </c>
      <c r="I115" s="18">
        <f ca="1" t="shared" si="110"/>
        <v>43778</v>
      </c>
      <c r="J115" s="18">
        <f ca="1" t="shared" si="66"/>
        <v>43778</v>
      </c>
      <c r="L115" s="1">
        <v>40</v>
      </c>
      <c r="M115" s="1" t="s">
        <v>3394</v>
      </c>
      <c r="N115" s="1">
        <v>40</v>
      </c>
      <c r="O115" s="1">
        <v>3880</v>
      </c>
      <c r="P115" s="1">
        <v>0</v>
      </c>
      <c r="Q115" s="1">
        <v>0</v>
      </c>
      <c r="R115" s="1">
        <v>0</v>
      </c>
      <c r="S115" s="1">
        <v>0</v>
      </c>
      <c r="T115" s="1">
        <v>0</v>
      </c>
      <c r="U115" s="1">
        <v>0</v>
      </c>
      <c r="V115" s="1" t="s">
        <v>3329</v>
      </c>
      <c r="W115" s="1">
        <v>0</v>
      </c>
      <c r="X115" s="1">
        <v>1</v>
      </c>
      <c r="Y115" s="1">
        <v>0</v>
      </c>
      <c r="Z115" s="1">
        <v>1</v>
      </c>
      <c r="AA115" s="1">
        <v>0</v>
      </c>
      <c r="AB115" s="1">
        <v>0</v>
      </c>
      <c r="AC115" s="1">
        <v>0</v>
      </c>
      <c r="AD115" s="1">
        <v>0</v>
      </c>
      <c r="AE115" s="1">
        <v>0</v>
      </c>
      <c r="AF115" s="1">
        <v>0</v>
      </c>
      <c r="AG115" s="1">
        <v>0</v>
      </c>
      <c r="AH115" s="1">
        <v>0</v>
      </c>
      <c r="AI115" s="1">
        <v>0</v>
      </c>
      <c r="AJ115" s="1">
        <v>0</v>
      </c>
      <c r="AK115" s="1">
        <v>0</v>
      </c>
      <c r="AL115" s="1">
        <v>0</v>
      </c>
      <c r="AM115" s="1">
        <v>0</v>
      </c>
      <c r="AN115" s="1">
        <v>0</v>
      </c>
      <c r="AO115" s="1">
        <v>1</v>
      </c>
      <c r="AP115" s="1">
        <v>0</v>
      </c>
      <c r="AQ115" s="1">
        <v>3</v>
      </c>
      <c r="AR115" s="1">
        <v>0</v>
      </c>
      <c r="AS115" s="1">
        <v>0</v>
      </c>
      <c r="AT115" s="1">
        <v>0</v>
      </c>
      <c r="AU115" s="1">
        <v>0</v>
      </c>
      <c r="AV115" s="1">
        <v>0</v>
      </c>
      <c r="AW115" s="1">
        <v>1</v>
      </c>
      <c r="AX115" s="1">
        <v>0</v>
      </c>
      <c r="AY115" s="1">
        <v>0</v>
      </c>
      <c r="AZ115" s="1">
        <v>0</v>
      </c>
      <c r="BA115" s="1">
        <v>0</v>
      </c>
      <c r="BB115" s="1">
        <v>0</v>
      </c>
      <c r="BC115" s="1">
        <v>0</v>
      </c>
      <c r="BD115" s="1">
        <v>0</v>
      </c>
      <c r="BE115" s="1">
        <v>3</v>
      </c>
      <c r="BF115" s="1">
        <v>0</v>
      </c>
      <c r="BG115" s="1">
        <v>0</v>
      </c>
      <c r="BH115" s="1">
        <v>1</v>
      </c>
      <c r="BI115" s="1">
        <v>0</v>
      </c>
      <c r="BJ115" s="1">
        <v>0</v>
      </c>
      <c r="BK115" s="1">
        <v>5</v>
      </c>
      <c r="BL115" s="1">
        <v>4</v>
      </c>
      <c r="BM115" s="1">
        <v>0</v>
      </c>
      <c r="BN115" s="1">
        <v>0</v>
      </c>
      <c r="BO115" s="1">
        <v>0</v>
      </c>
    </row>
    <row r="116" hidden="1" spans="1:67">
      <c r="A116" s="18">
        <v>43719</v>
      </c>
      <c r="B116" s="2">
        <v>43506</v>
      </c>
      <c r="C116" s="18">
        <v>43751</v>
      </c>
      <c r="D116" s="18">
        <f ca="1" t="shared" ref="D116:I116" si="111">C116</f>
        <v>43751</v>
      </c>
      <c r="E116" s="18">
        <v>43752</v>
      </c>
      <c r="F116" s="18">
        <f ca="1" t="shared" si="111"/>
        <v>43752</v>
      </c>
      <c r="G116" s="18">
        <v>43778</v>
      </c>
      <c r="H116" s="18">
        <v>43778</v>
      </c>
      <c r="I116" s="18">
        <f ca="1" t="shared" si="111"/>
        <v>43778</v>
      </c>
      <c r="J116" s="18">
        <f ca="1" t="shared" si="66"/>
        <v>43778</v>
      </c>
      <c r="L116" s="1">
        <v>39.2</v>
      </c>
      <c r="M116" s="1">
        <v>142</v>
      </c>
      <c r="N116" s="1">
        <v>39.6</v>
      </c>
      <c r="O116" s="1">
        <v>3919.2</v>
      </c>
      <c r="P116" s="1">
        <v>0</v>
      </c>
      <c r="Q116" s="1">
        <v>0</v>
      </c>
      <c r="R116" s="1">
        <v>0</v>
      </c>
      <c r="S116" s="1">
        <v>0</v>
      </c>
      <c r="T116" s="1">
        <v>0</v>
      </c>
      <c r="U116" s="1" t="s">
        <v>3347</v>
      </c>
      <c r="V116" s="1" t="s">
        <v>3347</v>
      </c>
      <c r="W116" s="1">
        <v>1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0</v>
      </c>
      <c r="AD116" s="1">
        <v>0</v>
      </c>
      <c r="AE116" s="1">
        <v>0</v>
      </c>
      <c r="AF116" s="1">
        <v>0</v>
      </c>
      <c r="AG116" s="1">
        <v>0</v>
      </c>
      <c r="AH116" s="1">
        <v>0</v>
      </c>
      <c r="AI116" s="1">
        <v>0</v>
      </c>
      <c r="AJ116" s="1">
        <v>0</v>
      </c>
      <c r="AK116" s="1">
        <v>1</v>
      </c>
      <c r="AL116" s="1">
        <v>0</v>
      </c>
      <c r="AM116" s="1">
        <v>0</v>
      </c>
      <c r="AN116" s="1">
        <v>0</v>
      </c>
      <c r="AO116" s="1">
        <v>1</v>
      </c>
      <c r="AP116" s="1">
        <v>0</v>
      </c>
      <c r="AQ116" s="1">
        <v>3</v>
      </c>
      <c r="AR116" s="1">
        <v>0</v>
      </c>
      <c r="AS116" s="1">
        <v>0</v>
      </c>
      <c r="AT116" s="1">
        <v>0</v>
      </c>
      <c r="AU116" s="1">
        <v>0</v>
      </c>
      <c r="AV116" s="1">
        <v>0</v>
      </c>
      <c r="AW116" s="1">
        <v>1</v>
      </c>
      <c r="AX116" s="1">
        <v>3</v>
      </c>
      <c r="AY116" s="1">
        <v>3</v>
      </c>
      <c r="AZ116" s="1">
        <v>0</v>
      </c>
      <c r="BA116" s="1">
        <v>0</v>
      </c>
      <c r="BB116" s="1">
        <v>2</v>
      </c>
      <c r="BC116" s="1">
        <v>0</v>
      </c>
      <c r="BD116" s="1">
        <v>0</v>
      </c>
      <c r="BE116" s="1">
        <v>3</v>
      </c>
      <c r="BF116" s="1">
        <v>0</v>
      </c>
      <c r="BG116" s="1">
        <v>0</v>
      </c>
      <c r="BH116" s="1">
        <v>0</v>
      </c>
      <c r="BI116" s="1">
        <v>0</v>
      </c>
      <c r="BJ116" s="1">
        <v>0</v>
      </c>
      <c r="BK116" s="1">
        <v>0</v>
      </c>
      <c r="BL116" s="1">
        <v>0</v>
      </c>
      <c r="BM116" s="1">
        <v>0</v>
      </c>
      <c r="BN116" s="1" t="s">
        <v>3355</v>
      </c>
      <c r="BO116" s="1">
        <v>0</v>
      </c>
    </row>
    <row r="117" hidden="1" spans="1:67">
      <c r="A117" s="18">
        <v>43719</v>
      </c>
      <c r="B117" s="2">
        <v>43506</v>
      </c>
      <c r="C117" s="18">
        <v>43751</v>
      </c>
      <c r="D117" s="18">
        <f ca="1" t="shared" ref="D117:I117" si="112">C117</f>
        <v>43751</v>
      </c>
      <c r="E117" s="18">
        <v>43752</v>
      </c>
      <c r="F117" s="18">
        <f ca="1" t="shared" si="112"/>
        <v>43752</v>
      </c>
      <c r="G117" s="18">
        <v>43751</v>
      </c>
      <c r="H117" s="18">
        <v>43765</v>
      </c>
      <c r="I117" s="18">
        <f ca="1" t="shared" si="112"/>
        <v>43765</v>
      </c>
      <c r="J117" s="18">
        <f ca="1" t="shared" si="66"/>
        <v>43765</v>
      </c>
      <c r="L117" s="1">
        <v>41</v>
      </c>
      <c r="M117" s="1" t="s">
        <v>3395</v>
      </c>
      <c r="N117" s="1">
        <v>43.6</v>
      </c>
      <c r="O117" s="1">
        <v>3960.2</v>
      </c>
      <c r="P117" s="1">
        <v>0</v>
      </c>
      <c r="Q117" s="1">
        <v>0</v>
      </c>
      <c r="R117" s="1">
        <v>0</v>
      </c>
      <c r="S117" s="1">
        <v>0</v>
      </c>
      <c r="T117" s="1">
        <v>0</v>
      </c>
      <c r="U117" s="1">
        <v>0</v>
      </c>
      <c r="V117" s="1" t="s">
        <v>3324</v>
      </c>
      <c r="W117" s="1">
        <v>0</v>
      </c>
      <c r="X117" s="1">
        <v>2</v>
      </c>
      <c r="Y117" s="1">
        <v>0</v>
      </c>
      <c r="Z117" s="1">
        <v>0</v>
      </c>
      <c r="AA117" s="1">
        <v>0</v>
      </c>
      <c r="AB117" s="1">
        <v>1</v>
      </c>
      <c r="AC117" s="1">
        <v>0</v>
      </c>
      <c r="AD117" s="1">
        <v>0</v>
      </c>
      <c r="AE117" s="1">
        <v>0</v>
      </c>
      <c r="AF117" s="1">
        <v>0</v>
      </c>
      <c r="AG117" s="1">
        <v>0</v>
      </c>
      <c r="AH117" s="1">
        <v>0</v>
      </c>
      <c r="AI117" s="1">
        <v>0</v>
      </c>
      <c r="AJ117" s="1">
        <v>0</v>
      </c>
      <c r="AK117" s="1">
        <v>0</v>
      </c>
      <c r="AL117" s="1">
        <v>0</v>
      </c>
      <c r="AM117" s="1">
        <v>0</v>
      </c>
      <c r="AN117" s="1">
        <v>1</v>
      </c>
      <c r="AO117" s="1">
        <v>0</v>
      </c>
      <c r="AP117" s="1">
        <v>0</v>
      </c>
      <c r="AQ117" s="1">
        <v>6</v>
      </c>
      <c r="AR117" s="1">
        <v>6</v>
      </c>
      <c r="AS117" s="1">
        <v>0</v>
      </c>
      <c r="AT117" s="1">
        <v>0</v>
      </c>
      <c r="AU117" s="1">
        <v>6</v>
      </c>
      <c r="AV117" s="1">
        <v>2</v>
      </c>
      <c r="AW117" s="1">
        <v>0</v>
      </c>
      <c r="AX117" s="1">
        <v>0</v>
      </c>
      <c r="AY117" s="1">
        <v>0</v>
      </c>
      <c r="AZ117" s="1">
        <v>0</v>
      </c>
      <c r="BA117" s="1">
        <v>0</v>
      </c>
      <c r="BB117" s="1">
        <v>2</v>
      </c>
      <c r="BC117" s="1">
        <v>6</v>
      </c>
      <c r="BD117" s="1">
        <v>0</v>
      </c>
      <c r="BE117" s="1">
        <v>6</v>
      </c>
      <c r="BF117" s="1">
        <v>0</v>
      </c>
      <c r="BG117" s="1">
        <v>0</v>
      </c>
      <c r="BH117" s="1">
        <v>1</v>
      </c>
      <c r="BI117" s="1">
        <v>0</v>
      </c>
      <c r="BJ117" s="1">
        <v>0</v>
      </c>
      <c r="BK117" s="1">
        <v>7</v>
      </c>
      <c r="BL117" s="1">
        <v>4</v>
      </c>
      <c r="BM117" s="1">
        <v>1.2</v>
      </c>
      <c r="BN117" s="1">
        <v>0</v>
      </c>
      <c r="BO117" s="1">
        <v>0</v>
      </c>
    </row>
    <row r="118" hidden="1" spans="1:67">
      <c r="A118" s="18">
        <v>43719</v>
      </c>
      <c r="B118" s="2">
        <v>43506</v>
      </c>
      <c r="C118" s="18">
        <v>43751</v>
      </c>
      <c r="D118" s="18">
        <f ca="1" t="shared" ref="D118:I118" si="113">C118</f>
        <v>43751</v>
      </c>
      <c r="E118" s="18">
        <v>43752</v>
      </c>
      <c r="F118" s="18">
        <f ca="1" t="shared" si="113"/>
        <v>43752</v>
      </c>
      <c r="G118" s="18">
        <v>43765</v>
      </c>
      <c r="H118" s="18">
        <v>43765</v>
      </c>
      <c r="I118" s="18">
        <f ca="1" t="shared" si="113"/>
        <v>43765</v>
      </c>
      <c r="J118" s="18">
        <f ca="1" t="shared" si="66"/>
        <v>43765</v>
      </c>
      <c r="L118" s="1">
        <v>41.3</v>
      </c>
      <c r="M118" s="1">
        <v>143</v>
      </c>
      <c r="N118" s="1">
        <v>39.1</v>
      </c>
      <c r="O118" s="1">
        <v>4001.5</v>
      </c>
      <c r="P118" s="1">
        <v>0</v>
      </c>
      <c r="Q118" s="1">
        <v>0</v>
      </c>
      <c r="R118" s="1">
        <v>0</v>
      </c>
      <c r="S118" s="1">
        <v>0</v>
      </c>
      <c r="T118" s="1">
        <v>0</v>
      </c>
      <c r="U118" s="1" t="s">
        <v>3329</v>
      </c>
      <c r="V118" s="1" t="s">
        <v>3329</v>
      </c>
      <c r="W118" s="1">
        <v>1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0</v>
      </c>
      <c r="AD118" s="1">
        <v>0</v>
      </c>
      <c r="AE118" s="1">
        <v>0</v>
      </c>
      <c r="AF118" s="1">
        <v>0</v>
      </c>
      <c r="AG118" s="1">
        <v>0</v>
      </c>
      <c r="AH118" s="1">
        <v>0</v>
      </c>
      <c r="AI118" s="1">
        <v>0</v>
      </c>
      <c r="AJ118" s="1">
        <v>0</v>
      </c>
      <c r="AK118" s="1">
        <v>0</v>
      </c>
      <c r="AL118" s="1">
        <v>0</v>
      </c>
      <c r="AM118" s="1">
        <v>0</v>
      </c>
      <c r="AN118" s="1">
        <v>0</v>
      </c>
      <c r="AO118" s="1">
        <v>1</v>
      </c>
      <c r="AP118" s="1">
        <v>0</v>
      </c>
      <c r="AQ118" s="1">
        <v>3</v>
      </c>
      <c r="AR118" s="1">
        <v>0</v>
      </c>
      <c r="AS118" s="1">
        <v>0</v>
      </c>
      <c r="AT118" s="1">
        <v>0</v>
      </c>
      <c r="AU118" s="1">
        <v>0</v>
      </c>
      <c r="AV118" s="1">
        <v>0</v>
      </c>
      <c r="AW118" s="1">
        <v>1</v>
      </c>
      <c r="AX118" s="1">
        <v>0</v>
      </c>
      <c r="AY118" s="1">
        <v>0</v>
      </c>
      <c r="AZ118" s="1">
        <v>0</v>
      </c>
      <c r="BA118" s="1">
        <v>0</v>
      </c>
      <c r="BB118" s="1">
        <v>0</v>
      </c>
      <c r="BC118" s="1">
        <v>0</v>
      </c>
      <c r="BD118" s="1">
        <v>0</v>
      </c>
      <c r="BE118" s="1">
        <v>3</v>
      </c>
      <c r="BF118" s="1">
        <v>0</v>
      </c>
      <c r="BG118" s="1">
        <v>0</v>
      </c>
      <c r="BH118" s="1">
        <v>0</v>
      </c>
      <c r="BI118" s="1">
        <v>0</v>
      </c>
      <c r="BJ118" s="1">
        <v>0</v>
      </c>
      <c r="BK118" s="1">
        <v>0</v>
      </c>
      <c r="BL118" s="1">
        <v>0</v>
      </c>
      <c r="BM118" s="1">
        <v>0</v>
      </c>
      <c r="BN118" s="1">
        <v>0</v>
      </c>
      <c r="BO118" s="1">
        <v>0</v>
      </c>
    </row>
    <row r="119" hidden="1" spans="1:67">
      <c r="A119" s="18">
        <v>43719</v>
      </c>
      <c r="B119" s="2">
        <v>43506</v>
      </c>
      <c r="C119" s="18">
        <v>43751</v>
      </c>
      <c r="D119" s="18">
        <f ca="1" t="shared" ref="D119:I119" si="114">C119</f>
        <v>43751</v>
      </c>
      <c r="E119" s="18">
        <v>43752</v>
      </c>
      <c r="F119" s="18">
        <f ca="1" t="shared" si="114"/>
        <v>43752</v>
      </c>
      <c r="G119" s="18">
        <v>43751</v>
      </c>
      <c r="H119" s="18">
        <v>43765</v>
      </c>
      <c r="I119" s="18">
        <f ca="1" t="shared" si="114"/>
        <v>43765</v>
      </c>
      <c r="J119" s="18">
        <f ca="1" t="shared" si="66"/>
        <v>43765</v>
      </c>
      <c r="L119" s="1">
        <v>44</v>
      </c>
      <c r="M119" s="1" t="s">
        <v>3396</v>
      </c>
      <c r="N119" s="1">
        <v>39.1</v>
      </c>
      <c r="O119" s="1">
        <v>4045.5</v>
      </c>
      <c r="P119" s="1">
        <v>0</v>
      </c>
      <c r="Q119" s="1">
        <v>0</v>
      </c>
      <c r="R119" s="1">
        <v>0</v>
      </c>
      <c r="S119" s="1">
        <v>0</v>
      </c>
      <c r="T119" s="1">
        <v>0</v>
      </c>
      <c r="U119" s="1">
        <v>0</v>
      </c>
      <c r="V119" s="1" t="s">
        <v>3329</v>
      </c>
      <c r="W119" s="1">
        <v>0</v>
      </c>
      <c r="X119" s="1">
        <v>1</v>
      </c>
      <c r="Y119" s="1">
        <v>0</v>
      </c>
      <c r="Z119" s="1">
        <v>1</v>
      </c>
      <c r="AA119" s="1">
        <v>0</v>
      </c>
      <c r="AB119" s="1">
        <v>0</v>
      </c>
      <c r="AC119" s="1">
        <v>0</v>
      </c>
      <c r="AD119" s="1">
        <v>0</v>
      </c>
      <c r="AE119" s="1">
        <v>0</v>
      </c>
      <c r="AF119" s="1">
        <v>0</v>
      </c>
      <c r="AG119" s="1">
        <v>0</v>
      </c>
      <c r="AH119" s="1">
        <v>0</v>
      </c>
      <c r="AI119" s="1">
        <v>0</v>
      </c>
      <c r="AJ119" s="1">
        <v>0</v>
      </c>
      <c r="AK119" s="1">
        <v>0</v>
      </c>
      <c r="AL119" s="1">
        <v>0</v>
      </c>
      <c r="AM119" s="1">
        <v>0</v>
      </c>
      <c r="AN119" s="1">
        <v>0</v>
      </c>
      <c r="AO119" s="1">
        <v>1</v>
      </c>
      <c r="AP119" s="1">
        <v>0</v>
      </c>
      <c r="AQ119" s="1">
        <v>3</v>
      </c>
      <c r="AR119" s="1">
        <v>0</v>
      </c>
      <c r="AS119" s="1">
        <v>0</v>
      </c>
      <c r="AT119" s="1">
        <v>0</v>
      </c>
      <c r="AU119" s="1">
        <v>0</v>
      </c>
      <c r="AV119" s="1">
        <v>0</v>
      </c>
      <c r="AW119" s="1">
        <v>1</v>
      </c>
      <c r="AX119" s="1">
        <v>0</v>
      </c>
      <c r="AY119" s="1">
        <v>0</v>
      </c>
      <c r="AZ119" s="1">
        <v>0</v>
      </c>
      <c r="BA119" s="1">
        <v>0</v>
      </c>
      <c r="BB119" s="1">
        <v>0</v>
      </c>
      <c r="BC119" s="1">
        <v>0</v>
      </c>
      <c r="BD119" s="1">
        <v>0</v>
      </c>
      <c r="BE119" s="1">
        <v>3</v>
      </c>
      <c r="BF119" s="1">
        <v>0</v>
      </c>
      <c r="BG119" s="1">
        <v>0</v>
      </c>
      <c r="BH119" s="1">
        <v>1</v>
      </c>
      <c r="BI119" s="1">
        <v>0</v>
      </c>
      <c r="BJ119" s="1">
        <v>0</v>
      </c>
      <c r="BK119" s="1">
        <v>6</v>
      </c>
      <c r="BL119" s="1">
        <v>4</v>
      </c>
      <c r="BM119" s="1">
        <v>0</v>
      </c>
      <c r="BN119" s="1">
        <v>0</v>
      </c>
      <c r="BO119" s="1">
        <v>0</v>
      </c>
    </row>
    <row r="120" hidden="1" spans="1:67">
      <c r="A120" s="18">
        <v>43719</v>
      </c>
      <c r="B120" s="2">
        <v>43506</v>
      </c>
      <c r="C120" s="18">
        <v>43751</v>
      </c>
      <c r="D120" s="18">
        <f ca="1" t="shared" ref="D120:I120" si="115">C120</f>
        <v>43751</v>
      </c>
      <c r="E120" s="18">
        <v>43752</v>
      </c>
      <c r="F120" s="18">
        <f ca="1" t="shared" si="115"/>
        <v>43752</v>
      </c>
      <c r="G120" s="18">
        <v>43765</v>
      </c>
      <c r="H120" s="18">
        <v>43765</v>
      </c>
      <c r="I120" s="18">
        <f ca="1" t="shared" si="115"/>
        <v>43765</v>
      </c>
      <c r="J120" s="18">
        <f ca="1" t="shared" si="66"/>
        <v>43765</v>
      </c>
      <c r="L120" s="1">
        <v>43.8</v>
      </c>
      <c r="M120" s="1">
        <v>144</v>
      </c>
      <c r="N120" s="1">
        <v>48</v>
      </c>
      <c r="O120" s="1">
        <v>4089.3</v>
      </c>
      <c r="P120" s="1">
        <v>0</v>
      </c>
      <c r="Q120" s="1">
        <v>0</v>
      </c>
      <c r="R120" s="1">
        <v>0</v>
      </c>
      <c r="S120" s="1">
        <v>0</v>
      </c>
      <c r="T120" s="1">
        <v>0</v>
      </c>
      <c r="U120" s="1" t="s">
        <v>3329</v>
      </c>
      <c r="V120" s="1" t="s">
        <v>3329</v>
      </c>
      <c r="W120" s="1">
        <v>1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0</v>
      </c>
      <c r="AD120" s="1">
        <v>0</v>
      </c>
      <c r="AE120" s="1">
        <v>0</v>
      </c>
      <c r="AF120" s="1">
        <v>0</v>
      </c>
      <c r="AG120" s="1">
        <v>0</v>
      </c>
      <c r="AH120" s="1">
        <v>0</v>
      </c>
      <c r="AI120" s="1">
        <v>0</v>
      </c>
      <c r="AJ120" s="1">
        <v>0</v>
      </c>
      <c r="AK120" s="1">
        <v>0</v>
      </c>
      <c r="AL120" s="1">
        <v>0</v>
      </c>
      <c r="AM120" s="1">
        <v>0</v>
      </c>
      <c r="AN120" s="1">
        <v>0</v>
      </c>
      <c r="AO120" s="1">
        <v>1</v>
      </c>
      <c r="AP120" s="1">
        <v>0</v>
      </c>
      <c r="AQ120" s="1">
        <v>3</v>
      </c>
      <c r="AR120" s="1">
        <v>0</v>
      </c>
      <c r="AS120" s="1">
        <v>0</v>
      </c>
      <c r="AT120" s="1">
        <v>0</v>
      </c>
      <c r="AU120" s="1">
        <v>0</v>
      </c>
      <c r="AV120" s="1">
        <v>0</v>
      </c>
      <c r="AW120" s="1">
        <v>1</v>
      </c>
      <c r="AX120" s="1">
        <v>3</v>
      </c>
      <c r="AY120" s="1">
        <v>0</v>
      </c>
      <c r="AZ120" s="1">
        <v>0</v>
      </c>
      <c r="BA120" s="1">
        <v>0</v>
      </c>
      <c r="BB120" s="1">
        <v>0</v>
      </c>
      <c r="BC120" s="1">
        <v>0</v>
      </c>
      <c r="BD120" s="1">
        <v>0</v>
      </c>
      <c r="BE120" s="1">
        <v>3</v>
      </c>
      <c r="BF120" s="1">
        <v>0</v>
      </c>
      <c r="BG120" s="1">
        <v>0</v>
      </c>
      <c r="BH120" s="1">
        <v>0</v>
      </c>
      <c r="BI120" s="1">
        <v>0</v>
      </c>
      <c r="BJ120" s="1">
        <v>0</v>
      </c>
      <c r="BK120" s="1">
        <v>0</v>
      </c>
      <c r="BL120" s="1">
        <v>0</v>
      </c>
      <c r="BM120" s="1">
        <v>0</v>
      </c>
      <c r="BN120" s="1">
        <v>0</v>
      </c>
      <c r="BO120" s="1">
        <v>0</v>
      </c>
    </row>
    <row r="121" hidden="1" spans="1:67">
      <c r="A121" s="18">
        <v>43719</v>
      </c>
      <c r="B121" s="2">
        <v>43506</v>
      </c>
      <c r="C121" s="18">
        <v>43751</v>
      </c>
      <c r="D121" s="18">
        <f ca="1" t="shared" ref="D121:I121" si="116">C121</f>
        <v>43751</v>
      </c>
      <c r="E121" s="18">
        <v>43752</v>
      </c>
      <c r="F121" s="18">
        <f ca="1" t="shared" si="116"/>
        <v>43752</v>
      </c>
      <c r="G121" s="18">
        <v>43751</v>
      </c>
      <c r="H121" s="18">
        <v>43765</v>
      </c>
      <c r="I121" s="18">
        <f ca="1" t="shared" si="116"/>
        <v>43765</v>
      </c>
      <c r="J121" s="18">
        <f ca="1" t="shared" si="66"/>
        <v>43765</v>
      </c>
      <c r="L121" s="1">
        <v>38</v>
      </c>
      <c r="M121" s="1" t="s">
        <v>3397</v>
      </c>
      <c r="N121" s="1">
        <v>41.1</v>
      </c>
      <c r="O121" s="1">
        <v>4127.3</v>
      </c>
      <c r="P121" s="1">
        <v>0</v>
      </c>
      <c r="Q121" s="1">
        <v>0</v>
      </c>
      <c r="R121" s="1">
        <v>0</v>
      </c>
      <c r="S121" s="1">
        <v>0</v>
      </c>
      <c r="T121" s="1">
        <v>0</v>
      </c>
      <c r="U121" s="1">
        <v>0</v>
      </c>
      <c r="V121" s="1" t="s">
        <v>3329</v>
      </c>
      <c r="W121" s="1">
        <v>0</v>
      </c>
      <c r="X121" s="1">
        <v>1</v>
      </c>
      <c r="Y121" s="1">
        <v>0</v>
      </c>
      <c r="Z121" s="1">
        <v>1</v>
      </c>
      <c r="AA121" s="1">
        <v>0</v>
      </c>
      <c r="AB121" s="1">
        <v>0</v>
      </c>
      <c r="AC121" s="1">
        <v>0</v>
      </c>
      <c r="AD121" s="1">
        <v>0</v>
      </c>
      <c r="AE121" s="1">
        <v>0</v>
      </c>
      <c r="AF121" s="1">
        <v>0</v>
      </c>
      <c r="AG121" s="1">
        <v>0</v>
      </c>
      <c r="AH121" s="1">
        <v>0</v>
      </c>
      <c r="AI121" s="1">
        <v>0</v>
      </c>
      <c r="AJ121" s="1">
        <v>1</v>
      </c>
      <c r="AK121" s="1">
        <v>0</v>
      </c>
      <c r="AL121" s="1">
        <v>0</v>
      </c>
      <c r="AM121" s="1">
        <v>0</v>
      </c>
      <c r="AN121" s="1">
        <v>0</v>
      </c>
      <c r="AO121" s="1">
        <v>1</v>
      </c>
      <c r="AP121" s="1">
        <v>0</v>
      </c>
      <c r="AQ121" s="1">
        <v>3</v>
      </c>
      <c r="AR121" s="1">
        <v>0</v>
      </c>
      <c r="AS121" s="1">
        <v>0</v>
      </c>
      <c r="AT121" s="1">
        <v>0</v>
      </c>
      <c r="AU121" s="1">
        <v>0</v>
      </c>
      <c r="AV121" s="1">
        <v>0</v>
      </c>
      <c r="AW121" s="1">
        <v>1</v>
      </c>
      <c r="AX121" s="1">
        <v>0</v>
      </c>
      <c r="AY121" s="1">
        <v>0</v>
      </c>
      <c r="AZ121" s="1">
        <v>0</v>
      </c>
      <c r="BA121" s="1">
        <v>0</v>
      </c>
      <c r="BB121" s="1">
        <v>0</v>
      </c>
      <c r="BC121" s="1">
        <v>0</v>
      </c>
      <c r="BD121" s="1">
        <v>0</v>
      </c>
      <c r="BE121" s="1">
        <v>3</v>
      </c>
      <c r="BF121" s="1">
        <v>0</v>
      </c>
      <c r="BG121" s="1">
        <v>0</v>
      </c>
      <c r="BH121" s="1">
        <v>1</v>
      </c>
      <c r="BI121" s="1">
        <v>0</v>
      </c>
      <c r="BJ121" s="1">
        <v>0</v>
      </c>
      <c r="BK121" s="1">
        <v>6</v>
      </c>
      <c r="BL121" s="1">
        <v>4</v>
      </c>
      <c r="BM121" s="1">
        <v>0</v>
      </c>
      <c r="BN121" s="1">
        <v>0</v>
      </c>
      <c r="BO121" s="1">
        <v>0</v>
      </c>
    </row>
    <row r="122" hidden="1" spans="1:67">
      <c r="A122" s="18">
        <v>43719</v>
      </c>
      <c r="B122" s="2">
        <v>43506</v>
      </c>
      <c r="C122" s="18">
        <v>43751</v>
      </c>
      <c r="D122" s="18">
        <f ca="1" t="shared" ref="D122:I122" si="117">C122</f>
        <v>43751</v>
      </c>
      <c r="E122" s="18">
        <v>43752</v>
      </c>
      <c r="F122" s="18">
        <f ca="1" t="shared" si="117"/>
        <v>43752</v>
      </c>
      <c r="G122" s="18">
        <v>43765</v>
      </c>
      <c r="H122" s="18">
        <v>43765</v>
      </c>
      <c r="I122" s="18">
        <f ca="1" t="shared" si="117"/>
        <v>43765</v>
      </c>
      <c r="J122" s="18">
        <f ca="1" t="shared" si="66"/>
        <v>43765</v>
      </c>
      <c r="L122" s="1">
        <v>37.8</v>
      </c>
      <c r="M122" s="1">
        <v>145</v>
      </c>
      <c r="N122" s="1">
        <v>38</v>
      </c>
      <c r="O122" s="1">
        <v>4165.1</v>
      </c>
      <c r="P122" s="1">
        <v>0</v>
      </c>
      <c r="Q122" s="1">
        <v>0</v>
      </c>
      <c r="R122" s="1">
        <v>0</v>
      </c>
      <c r="S122" s="1">
        <v>0</v>
      </c>
      <c r="T122" s="1">
        <v>0</v>
      </c>
      <c r="U122" s="1" t="s">
        <v>3327</v>
      </c>
      <c r="V122" s="1" t="s">
        <v>3327</v>
      </c>
      <c r="W122" s="1">
        <v>1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0</v>
      </c>
      <c r="AD122" s="1">
        <v>1</v>
      </c>
      <c r="AE122" s="1">
        <v>0</v>
      </c>
      <c r="AF122" s="1">
        <v>0</v>
      </c>
      <c r="AG122" s="1">
        <v>0</v>
      </c>
      <c r="AH122" s="1">
        <v>0</v>
      </c>
      <c r="AI122" s="1">
        <v>0</v>
      </c>
      <c r="AJ122" s="1">
        <v>0</v>
      </c>
      <c r="AK122" s="1">
        <v>0</v>
      </c>
      <c r="AL122" s="1">
        <v>0</v>
      </c>
      <c r="AM122" s="1">
        <v>0</v>
      </c>
      <c r="AN122" s="1">
        <v>0</v>
      </c>
      <c r="AO122" s="1">
        <v>0</v>
      </c>
      <c r="AP122" s="1">
        <v>1</v>
      </c>
      <c r="AQ122" s="1">
        <v>6</v>
      </c>
      <c r="AR122" s="1">
        <v>0</v>
      </c>
      <c r="AS122" s="1">
        <v>0</v>
      </c>
      <c r="AT122" s="1">
        <v>0</v>
      </c>
      <c r="AU122" s="1">
        <v>0</v>
      </c>
      <c r="AV122" s="1">
        <v>0</v>
      </c>
      <c r="AW122" s="1">
        <v>1</v>
      </c>
      <c r="AX122" s="1">
        <v>0</v>
      </c>
      <c r="AY122" s="1">
        <v>0</v>
      </c>
      <c r="AZ122" s="1">
        <v>0</v>
      </c>
      <c r="BA122" s="1">
        <v>0</v>
      </c>
      <c r="BB122" s="1">
        <v>0</v>
      </c>
      <c r="BC122" s="1">
        <v>0</v>
      </c>
      <c r="BD122" s="1">
        <v>6</v>
      </c>
      <c r="BE122" s="1">
        <v>0</v>
      </c>
      <c r="BF122" s="1">
        <v>0</v>
      </c>
      <c r="BG122" s="1">
        <v>0</v>
      </c>
      <c r="BH122" s="1">
        <v>0</v>
      </c>
      <c r="BI122" s="1">
        <v>0</v>
      </c>
      <c r="BJ122" s="1">
        <v>0</v>
      </c>
      <c r="BK122" s="1">
        <v>0</v>
      </c>
      <c r="BL122" s="1">
        <v>0</v>
      </c>
      <c r="BM122" s="1">
        <v>0</v>
      </c>
      <c r="BN122" s="1">
        <v>0</v>
      </c>
      <c r="BO122" s="1">
        <v>0</v>
      </c>
    </row>
    <row r="123" hidden="1" spans="1:67">
      <c r="A123" s="18">
        <v>43719</v>
      </c>
      <c r="B123" s="2">
        <v>43506</v>
      </c>
      <c r="C123" s="18">
        <v>43751</v>
      </c>
      <c r="D123" s="18">
        <f ca="1" t="shared" ref="D123:I123" si="118">C123</f>
        <v>43751</v>
      </c>
      <c r="E123" s="18">
        <v>43752</v>
      </c>
      <c r="F123" s="18">
        <f ca="1" t="shared" si="118"/>
        <v>43752</v>
      </c>
      <c r="G123" s="18">
        <v>43751</v>
      </c>
      <c r="H123" s="18">
        <v>43765</v>
      </c>
      <c r="I123" s="18">
        <f ca="1" t="shared" si="118"/>
        <v>43765</v>
      </c>
      <c r="J123" s="18">
        <f ca="1" t="shared" si="66"/>
        <v>43765</v>
      </c>
      <c r="L123" s="1">
        <v>27</v>
      </c>
      <c r="M123" s="1" t="s">
        <v>3398</v>
      </c>
      <c r="N123" s="1">
        <v>22.6</v>
      </c>
      <c r="O123" s="1">
        <v>4192.1</v>
      </c>
      <c r="P123" s="1">
        <v>0</v>
      </c>
      <c r="Q123" s="1">
        <v>0</v>
      </c>
      <c r="R123" s="1">
        <v>0</v>
      </c>
      <c r="S123" s="1">
        <v>0</v>
      </c>
      <c r="T123" s="1">
        <v>0</v>
      </c>
      <c r="U123" s="1">
        <v>0</v>
      </c>
      <c r="V123" s="1" t="s">
        <v>3329</v>
      </c>
      <c r="W123" s="1">
        <v>0</v>
      </c>
      <c r="X123" s="1">
        <v>1</v>
      </c>
      <c r="Y123" s="1">
        <v>0</v>
      </c>
      <c r="Z123" s="1">
        <v>1</v>
      </c>
      <c r="AA123" s="1">
        <v>0</v>
      </c>
      <c r="AB123" s="1">
        <v>0</v>
      </c>
      <c r="AC123" s="1">
        <v>0</v>
      </c>
      <c r="AD123" s="1">
        <v>0</v>
      </c>
      <c r="AE123" s="1">
        <v>0</v>
      </c>
      <c r="AF123" s="1">
        <v>0</v>
      </c>
      <c r="AG123" s="1">
        <v>0</v>
      </c>
      <c r="AH123" s="1">
        <v>0</v>
      </c>
      <c r="AI123" s="1">
        <v>0</v>
      </c>
      <c r="AJ123" s="1">
        <v>0</v>
      </c>
      <c r="AK123" s="1">
        <v>0</v>
      </c>
      <c r="AL123" s="1">
        <v>0</v>
      </c>
      <c r="AM123" s="1">
        <v>0</v>
      </c>
      <c r="AN123" s="1">
        <v>0</v>
      </c>
      <c r="AO123" s="1">
        <v>1</v>
      </c>
      <c r="AP123" s="1">
        <v>0</v>
      </c>
      <c r="AQ123" s="1">
        <v>3</v>
      </c>
      <c r="AR123" s="1">
        <v>0</v>
      </c>
      <c r="AS123" s="1">
        <v>0</v>
      </c>
      <c r="AT123" s="1">
        <v>0</v>
      </c>
      <c r="AU123" s="1">
        <v>0</v>
      </c>
      <c r="AV123" s="1">
        <v>0</v>
      </c>
      <c r="AW123" s="1">
        <v>1</v>
      </c>
      <c r="AX123" s="1">
        <v>0</v>
      </c>
      <c r="AY123" s="1">
        <v>0</v>
      </c>
      <c r="AZ123" s="1">
        <v>0</v>
      </c>
      <c r="BA123" s="1">
        <v>0</v>
      </c>
      <c r="BB123" s="1">
        <v>0</v>
      </c>
      <c r="BC123" s="1">
        <v>0</v>
      </c>
      <c r="BD123" s="1">
        <v>0</v>
      </c>
      <c r="BE123" s="1">
        <v>3</v>
      </c>
      <c r="BF123" s="1">
        <v>0</v>
      </c>
      <c r="BG123" s="1">
        <v>0</v>
      </c>
      <c r="BH123" s="1">
        <v>1</v>
      </c>
      <c r="BI123" s="1">
        <v>0</v>
      </c>
      <c r="BJ123" s="1">
        <v>0</v>
      </c>
      <c r="BK123" s="1">
        <v>4</v>
      </c>
      <c r="BL123" s="1">
        <v>4</v>
      </c>
      <c r="BM123" s="1">
        <v>0</v>
      </c>
      <c r="BN123" s="1">
        <v>0</v>
      </c>
      <c r="BO123" s="1">
        <v>0</v>
      </c>
    </row>
    <row r="124" hidden="1" spans="1:67">
      <c r="A124" s="18">
        <v>43719</v>
      </c>
      <c r="B124" s="2">
        <v>43506</v>
      </c>
      <c r="C124" s="18">
        <v>43751</v>
      </c>
      <c r="D124" s="18">
        <f ca="1" t="shared" ref="D124:I124" si="119">C124</f>
        <v>43751</v>
      </c>
      <c r="E124" s="18">
        <v>43752</v>
      </c>
      <c r="F124" s="18">
        <f ca="1" t="shared" si="119"/>
        <v>43752</v>
      </c>
      <c r="G124" s="18">
        <v>43765</v>
      </c>
      <c r="H124" s="18">
        <v>43765</v>
      </c>
      <c r="I124" s="18">
        <f ca="1" t="shared" si="119"/>
        <v>43765</v>
      </c>
      <c r="J124" s="18">
        <f ca="1" t="shared" si="66"/>
        <v>43765</v>
      </c>
      <c r="L124" s="1">
        <v>26.5</v>
      </c>
      <c r="M124" s="1" t="s">
        <v>3399</v>
      </c>
      <c r="N124" s="1">
        <v>29.7</v>
      </c>
      <c r="O124" s="1">
        <v>4218.6</v>
      </c>
      <c r="P124" s="1">
        <v>0</v>
      </c>
      <c r="Q124" s="1">
        <v>0</v>
      </c>
      <c r="R124" s="1">
        <v>0</v>
      </c>
      <c r="S124" s="1">
        <v>0</v>
      </c>
      <c r="T124" s="1">
        <v>0</v>
      </c>
      <c r="U124" s="1" t="s">
        <v>3347</v>
      </c>
      <c r="V124" s="1" t="s">
        <v>3347</v>
      </c>
      <c r="W124" s="1">
        <v>1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0</v>
      </c>
      <c r="AD124" s="1">
        <v>0</v>
      </c>
      <c r="AE124" s="1">
        <v>0</v>
      </c>
      <c r="AF124" s="1">
        <v>0</v>
      </c>
      <c r="AG124" s="1">
        <v>0</v>
      </c>
      <c r="AH124" s="1">
        <v>0</v>
      </c>
      <c r="AI124" s="1">
        <v>0</v>
      </c>
      <c r="AJ124" s="1">
        <v>0</v>
      </c>
      <c r="AK124" s="1">
        <v>0</v>
      </c>
      <c r="AL124" s="1">
        <v>0</v>
      </c>
      <c r="AM124" s="1">
        <v>0</v>
      </c>
      <c r="AN124" s="1">
        <v>0</v>
      </c>
      <c r="AO124" s="1">
        <v>1</v>
      </c>
      <c r="AP124" s="1">
        <v>0</v>
      </c>
      <c r="AQ124" s="1">
        <v>3</v>
      </c>
      <c r="AR124" s="1">
        <v>0</v>
      </c>
      <c r="AS124" s="1">
        <v>0</v>
      </c>
      <c r="AT124" s="1">
        <v>0</v>
      </c>
      <c r="AU124" s="1">
        <v>0</v>
      </c>
      <c r="AV124" s="1">
        <v>0</v>
      </c>
      <c r="AW124" s="1">
        <v>1</v>
      </c>
      <c r="AX124" s="1">
        <v>3</v>
      </c>
      <c r="AY124" s="1">
        <v>3</v>
      </c>
      <c r="AZ124" s="1">
        <v>0</v>
      </c>
      <c r="BA124" s="1">
        <v>0</v>
      </c>
      <c r="BB124" s="1">
        <v>2</v>
      </c>
      <c r="BC124" s="1">
        <v>0</v>
      </c>
      <c r="BD124" s="1">
        <v>0</v>
      </c>
      <c r="BE124" s="1">
        <v>3</v>
      </c>
      <c r="BF124" s="1">
        <v>0</v>
      </c>
      <c r="BG124" s="1">
        <v>0</v>
      </c>
      <c r="BH124" s="1">
        <v>0</v>
      </c>
      <c r="BI124" s="1">
        <v>0</v>
      </c>
      <c r="BJ124" s="1">
        <v>0</v>
      </c>
      <c r="BK124" s="1">
        <v>0</v>
      </c>
      <c r="BL124" s="1">
        <v>0</v>
      </c>
      <c r="BM124" s="1">
        <v>0</v>
      </c>
      <c r="BN124" s="1" t="s">
        <v>3355</v>
      </c>
      <c r="BO124" s="1">
        <v>0</v>
      </c>
    </row>
    <row r="125" hidden="1" spans="1:67">
      <c r="A125" s="18">
        <v>43720</v>
      </c>
      <c r="B125" s="2">
        <v>43506</v>
      </c>
      <c r="C125" s="18">
        <v>43751</v>
      </c>
      <c r="D125" s="18">
        <f ca="1" t="shared" ref="D125:I125" si="120">C125</f>
        <v>43751</v>
      </c>
      <c r="E125" s="18">
        <v>43752</v>
      </c>
      <c r="F125" s="18">
        <f ca="1" t="shared" si="120"/>
        <v>43752</v>
      </c>
      <c r="G125" s="18">
        <v>43765</v>
      </c>
      <c r="H125" s="18">
        <v>43765</v>
      </c>
      <c r="I125" s="18">
        <f ca="1" t="shared" si="120"/>
        <v>43765</v>
      </c>
      <c r="J125" s="18">
        <f ca="1" t="shared" si="66"/>
        <v>43765</v>
      </c>
      <c r="L125" s="1">
        <v>15.6</v>
      </c>
      <c r="M125" s="1">
        <v>146</v>
      </c>
      <c r="N125" s="1">
        <v>10.6</v>
      </c>
      <c r="O125" s="1">
        <v>4234.2</v>
      </c>
      <c r="P125" s="1">
        <v>32</v>
      </c>
      <c r="Q125" s="1">
        <v>0</v>
      </c>
      <c r="R125" s="1">
        <v>0</v>
      </c>
      <c r="S125" s="1">
        <v>0</v>
      </c>
      <c r="T125" s="1">
        <v>1</v>
      </c>
      <c r="U125" s="1" t="s">
        <v>3347</v>
      </c>
      <c r="V125" s="1" t="s">
        <v>3347</v>
      </c>
      <c r="W125" s="1">
        <v>1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0</v>
      </c>
      <c r="AD125" s="1">
        <v>0</v>
      </c>
      <c r="AE125" s="1">
        <v>0</v>
      </c>
      <c r="AF125" s="1">
        <v>0</v>
      </c>
      <c r="AG125" s="1">
        <v>0</v>
      </c>
      <c r="AH125" s="1">
        <v>0</v>
      </c>
      <c r="AI125" s="1">
        <v>0</v>
      </c>
      <c r="AJ125" s="1">
        <v>0</v>
      </c>
      <c r="AK125" s="1">
        <v>0</v>
      </c>
      <c r="AL125" s="1">
        <v>0</v>
      </c>
      <c r="AM125" s="1">
        <v>0</v>
      </c>
      <c r="AN125" s="1">
        <v>0</v>
      </c>
      <c r="AO125" s="1">
        <v>1</v>
      </c>
      <c r="AP125" s="1">
        <v>0</v>
      </c>
      <c r="AQ125" s="1">
        <v>3</v>
      </c>
      <c r="AR125" s="1">
        <v>0</v>
      </c>
      <c r="AS125" s="1">
        <v>0</v>
      </c>
      <c r="AT125" s="1">
        <v>2</v>
      </c>
      <c r="AU125" s="1">
        <v>0</v>
      </c>
      <c r="AV125" s="1">
        <v>0</v>
      </c>
      <c r="AW125" s="1">
        <v>1</v>
      </c>
      <c r="AX125" s="1">
        <v>1</v>
      </c>
      <c r="AY125" s="1">
        <v>1</v>
      </c>
      <c r="AZ125" s="1">
        <v>2</v>
      </c>
      <c r="BA125" s="1">
        <v>0</v>
      </c>
      <c r="BB125" s="1">
        <v>2</v>
      </c>
      <c r="BC125" s="1">
        <v>0</v>
      </c>
      <c r="BD125" s="1">
        <v>0</v>
      </c>
      <c r="BE125" s="1">
        <v>3</v>
      </c>
      <c r="BF125" s="1">
        <v>0</v>
      </c>
      <c r="BG125" s="1">
        <v>0</v>
      </c>
      <c r="BH125" s="1">
        <v>0</v>
      </c>
      <c r="BI125" s="1">
        <v>0</v>
      </c>
      <c r="BJ125" s="1">
        <v>0</v>
      </c>
      <c r="BK125" s="1">
        <v>0</v>
      </c>
      <c r="BL125" s="1">
        <v>0</v>
      </c>
      <c r="BM125" s="1">
        <v>0</v>
      </c>
      <c r="BN125" s="1" t="s">
        <v>3348</v>
      </c>
      <c r="BO125" s="1">
        <v>0</v>
      </c>
    </row>
    <row r="126" hidden="1" spans="1:67">
      <c r="A126" s="18">
        <v>43720</v>
      </c>
      <c r="B126" s="2">
        <v>43506</v>
      </c>
      <c r="C126" s="18">
        <v>43751</v>
      </c>
      <c r="D126" s="18">
        <f ca="1" t="shared" ref="D126:I126" si="121">C126</f>
        <v>43751</v>
      </c>
      <c r="E126" s="18">
        <v>43752</v>
      </c>
      <c r="F126" s="18">
        <f ca="1" t="shared" si="121"/>
        <v>43752</v>
      </c>
      <c r="G126" s="18">
        <v>43751</v>
      </c>
      <c r="H126" s="18">
        <v>43765</v>
      </c>
      <c r="I126" s="18">
        <f ca="1" t="shared" si="121"/>
        <v>43765</v>
      </c>
      <c r="J126" s="18">
        <f ca="1" t="shared" si="66"/>
        <v>43765</v>
      </c>
      <c r="L126" s="1">
        <v>33</v>
      </c>
      <c r="M126" s="1" t="s">
        <v>3400</v>
      </c>
      <c r="N126" s="1">
        <v>36.8</v>
      </c>
      <c r="O126" s="1">
        <v>4267.2</v>
      </c>
      <c r="P126" s="1">
        <v>0</v>
      </c>
      <c r="Q126" s="1">
        <v>0</v>
      </c>
      <c r="R126" s="1">
        <v>0</v>
      </c>
      <c r="S126" s="1">
        <v>0</v>
      </c>
      <c r="T126" s="1">
        <v>0</v>
      </c>
      <c r="U126" s="1">
        <v>0</v>
      </c>
      <c r="V126" s="1" t="s">
        <v>3329</v>
      </c>
      <c r="W126" s="1">
        <v>0</v>
      </c>
      <c r="X126" s="1">
        <v>1</v>
      </c>
      <c r="Y126" s="1">
        <v>0</v>
      </c>
      <c r="Z126" s="1">
        <v>1</v>
      </c>
      <c r="AA126" s="1">
        <v>0</v>
      </c>
      <c r="AB126" s="1">
        <v>0</v>
      </c>
      <c r="AC126" s="1">
        <v>0</v>
      </c>
      <c r="AD126" s="1">
        <v>0</v>
      </c>
      <c r="AE126" s="1">
        <v>0</v>
      </c>
      <c r="AF126" s="1">
        <v>0</v>
      </c>
      <c r="AG126" s="1">
        <v>0</v>
      </c>
      <c r="AH126" s="1">
        <v>0</v>
      </c>
      <c r="AI126" s="1">
        <v>0</v>
      </c>
      <c r="AJ126" s="1">
        <v>0</v>
      </c>
      <c r="AK126" s="1">
        <v>0</v>
      </c>
      <c r="AL126" s="1">
        <v>0</v>
      </c>
      <c r="AM126" s="1">
        <v>0</v>
      </c>
      <c r="AN126" s="1">
        <v>0</v>
      </c>
      <c r="AO126" s="1">
        <v>1</v>
      </c>
      <c r="AP126" s="1">
        <v>0</v>
      </c>
      <c r="AQ126" s="1">
        <v>3</v>
      </c>
      <c r="AR126" s="1">
        <v>0</v>
      </c>
      <c r="AS126" s="1">
        <v>0</v>
      </c>
      <c r="AT126" s="1">
        <v>0</v>
      </c>
      <c r="AU126" s="1">
        <v>0</v>
      </c>
      <c r="AV126" s="1">
        <v>0</v>
      </c>
      <c r="AW126" s="1">
        <v>1</v>
      </c>
      <c r="AX126" s="1">
        <v>0</v>
      </c>
      <c r="AY126" s="1">
        <v>0</v>
      </c>
      <c r="AZ126" s="1">
        <v>0</v>
      </c>
      <c r="BA126" s="1">
        <v>0</v>
      </c>
      <c r="BB126" s="1">
        <v>0</v>
      </c>
      <c r="BC126" s="1">
        <v>0</v>
      </c>
      <c r="BD126" s="1">
        <v>0</v>
      </c>
      <c r="BE126" s="1">
        <v>3</v>
      </c>
      <c r="BF126" s="1">
        <v>0</v>
      </c>
      <c r="BG126" s="1">
        <v>0</v>
      </c>
      <c r="BH126" s="1">
        <v>1</v>
      </c>
      <c r="BI126" s="1">
        <v>0</v>
      </c>
      <c r="BJ126" s="1">
        <v>0</v>
      </c>
      <c r="BK126" s="1">
        <v>7</v>
      </c>
      <c r="BL126" s="1">
        <v>4</v>
      </c>
      <c r="BM126" s="1">
        <v>0</v>
      </c>
      <c r="BN126" s="1">
        <v>0</v>
      </c>
      <c r="BO126" s="1">
        <v>0</v>
      </c>
    </row>
    <row r="127" hidden="1" spans="1:67">
      <c r="A127" s="18">
        <v>43720</v>
      </c>
      <c r="B127" s="2">
        <v>43506</v>
      </c>
      <c r="C127" s="18">
        <v>43751</v>
      </c>
      <c r="D127" s="18">
        <f ca="1" t="shared" ref="D127:I127" si="122">C127</f>
        <v>43751</v>
      </c>
      <c r="E127" s="18">
        <v>43752</v>
      </c>
      <c r="F127" s="18">
        <f ca="1" t="shared" si="122"/>
        <v>43752</v>
      </c>
      <c r="G127" s="18">
        <v>43751</v>
      </c>
      <c r="H127" s="18">
        <v>43765</v>
      </c>
      <c r="I127" s="18">
        <f ca="1" t="shared" si="122"/>
        <v>43765</v>
      </c>
      <c r="J127" s="18">
        <f ca="1" t="shared" si="66"/>
        <v>43765</v>
      </c>
      <c r="L127" s="1">
        <v>31.9</v>
      </c>
      <c r="M127" s="1">
        <v>147</v>
      </c>
      <c r="N127" s="1">
        <v>33.8</v>
      </c>
      <c r="O127" s="1">
        <v>4299.1</v>
      </c>
      <c r="P127" s="1">
        <v>0</v>
      </c>
      <c r="Q127" s="1">
        <v>0</v>
      </c>
      <c r="R127" s="1">
        <v>0</v>
      </c>
      <c r="S127" s="1">
        <v>0</v>
      </c>
      <c r="T127" s="1">
        <v>5</v>
      </c>
      <c r="U127" s="1" t="s">
        <v>3329</v>
      </c>
      <c r="V127" s="1" t="s">
        <v>3329</v>
      </c>
      <c r="W127" s="1">
        <v>1</v>
      </c>
      <c r="X127" s="1">
        <v>0</v>
      </c>
      <c r="Y127" s="1">
        <v>1</v>
      </c>
      <c r="Z127" s="1">
        <v>0</v>
      </c>
      <c r="AA127" s="1">
        <v>0</v>
      </c>
      <c r="AB127" s="1">
        <v>0</v>
      </c>
      <c r="AC127" s="1">
        <v>1</v>
      </c>
      <c r="AD127" s="1">
        <v>0</v>
      </c>
      <c r="AE127" s="1">
        <v>0</v>
      </c>
      <c r="AF127" s="1">
        <v>0</v>
      </c>
      <c r="AG127" s="1">
        <v>0</v>
      </c>
      <c r="AH127" s="1">
        <v>0</v>
      </c>
      <c r="AI127" s="1">
        <v>0</v>
      </c>
      <c r="AJ127" s="1">
        <v>0</v>
      </c>
      <c r="AK127" s="1">
        <v>0</v>
      </c>
      <c r="AL127" s="1">
        <v>1</v>
      </c>
      <c r="AM127" s="1">
        <v>0</v>
      </c>
      <c r="AN127" s="1">
        <v>0</v>
      </c>
      <c r="AO127" s="1">
        <v>1</v>
      </c>
      <c r="AP127" s="1">
        <v>0</v>
      </c>
      <c r="AQ127" s="1">
        <v>3</v>
      </c>
      <c r="AR127" s="1">
        <v>0</v>
      </c>
      <c r="AS127" s="1">
        <v>0</v>
      </c>
      <c r="AT127" s="1">
        <v>0</v>
      </c>
      <c r="AU127" s="1">
        <v>0</v>
      </c>
      <c r="AV127" s="1">
        <v>0</v>
      </c>
      <c r="AW127" s="1">
        <v>1</v>
      </c>
      <c r="AX127" s="1">
        <v>1</v>
      </c>
      <c r="AY127" s="1">
        <v>1</v>
      </c>
      <c r="AZ127" s="1">
        <v>0</v>
      </c>
      <c r="BA127" s="1">
        <v>0</v>
      </c>
      <c r="BB127" s="1">
        <v>2</v>
      </c>
      <c r="BC127" s="1">
        <v>0</v>
      </c>
      <c r="BD127" s="1">
        <v>0</v>
      </c>
      <c r="BE127" s="1">
        <v>3</v>
      </c>
      <c r="BF127" s="1">
        <v>0</v>
      </c>
      <c r="BG127" s="1">
        <v>0</v>
      </c>
      <c r="BH127" s="1">
        <v>0</v>
      </c>
      <c r="BI127" s="1">
        <v>0</v>
      </c>
      <c r="BJ127" s="1">
        <v>0</v>
      </c>
      <c r="BK127" s="1">
        <v>0</v>
      </c>
      <c r="BL127" s="1">
        <v>0</v>
      </c>
      <c r="BM127" s="1">
        <v>0</v>
      </c>
      <c r="BN127" s="1" t="s">
        <v>3341</v>
      </c>
      <c r="BO127" s="1">
        <v>0</v>
      </c>
    </row>
    <row r="128" hidden="1" spans="1:67">
      <c r="A128" s="18">
        <v>43720</v>
      </c>
      <c r="B128" s="2">
        <v>43506</v>
      </c>
      <c r="C128" s="18">
        <v>43751</v>
      </c>
      <c r="D128" s="18">
        <f ca="1" t="shared" ref="D128:I128" si="123">C128</f>
        <v>43751</v>
      </c>
      <c r="E128" s="18">
        <v>43752</v>
      </c>
      <c r="F128" s="18">
        <f ca="1" t="shared" si="123"/>
        <v>43752</v>
      </c>
      <c r="G128" s="18">
        <v>43751</v>
      </c>
      <c r="H128" s="18">
        <v>43765</v>
      </c>
      <c r="I128" s="18">
        <f ca="1" t="shared" si="123"/>
        <v>43765</v>
      </c>
      <c r="J128" s="18">
        <f ca="1" t="shared" si="66"/>
        <v>43765</v>
      </c>
      <c r="L128" s="1">
        <v>34</v>
      </c>
      <c r="M128" s="1" t="s">
        <v>3401</v>
      </c>
      <c r="N128" s="1">
        <v>37.3</v>
      </c>
      <c r="O128" s="1">
        <v>4333.1</v>
      </c>
      <c r="P128" s="1">
        <v>0</v>
      </c>
      <c r="Q128" s="1">
        <v>0</v>
      </c>
      <c r="R128" s="1">
        <v>0</v>
      </c>
      <c r="S128" s="1">
        <v>0</v>
      </c>
      <c r="T128" s="1">
        <v>0</v>
      </c>
      <c r="U128" s="1">
        <v>0</v>
      </c>
      <c r="V128" s="1" t="s">
        <v>3329</v>
      </c>
      <c r="W128" s="1">
        <v>0</v>
      </c>
      <c r="X128" s="1">
        <v>1</v>
      </c>
      <c r="Y128" s="1">
        <v>0</v>
      </c>
      <c r="Z128" s="1">
        <v>0</v>
      </c>
      <c r="AA128" s="1">
        <v>1</v>
      </c>
      <c r="AB128" s="1">
        <v>0</v>
      </c>
      <c r="AC128" s="1">
        <v>0</v>
      </c>
      <c r="AD128" s="1">
        <v>0</v>
      </c>
      <c r="AE128" s="1">
        <v>0</v>
      </c>
      <c r="AF128" s="1">
        <v>0</v>
      </c>
      <c r="AG128" s="1">
        <v>0</v>
      </c>
      <c r="AH128" s="1">
        <v>0</v>
      </c>
      <c r="AI128" s="1">
        <v>0</v>
      </c>
      <c r="AJ128" s="1">
        <v>1</v>
      </c>
      <c r="AK128" s="1">
        <v>0</v>
      </c>
      <c r="AL128" s="1">
        <v>0</v>
      </c>
      <c r="AM128" s="1">
        <v>0</v>
      </c>
      <c r="AN128" s="1">
        <v>0</v>
      </c>
      <c r="AO128" s="1">
        <v>1</v>
      </c>
      <c r="AP128" s="1">
        <v>0</v>
      </c>
      <c r="AQ128" s="1">
        <v>3</v>
      </c>
      <c r="AR128" s="1">
        <v>0</v>
      </c>
      <c r="AS128" s="1">
        <v>0</v>
      </c>
      <c r="AT128" s="1">
        <v>0</v>
      </c>
      <c r="AU128" s="1">
        <v>0</v>
      </c>
      <c r="AV128" s="1">
        <v>0</v>
      </c>
      <c r="AW128" s="1">
        <v>1</v>
      </c>
      <c r="AX128" s="1">
        <v>0</v>
      </c>
      <c r="AY128" s="1">
        <v>0</v>
      </c>
      <c r="AZ128" s="1">
        <v>0</v>
      </c>
      <c r="BA128" s="1">
        <v>0</v>
      </c>
      <c r="BB128" s="1">
        <v>0</v>
      </c>
      <c r="BC128" s="1">
        <v>0</v>
      </c>
      <c r="BD128" s="1">
        <v>0</v>
      </c>
      <c r="BE128" s="1">
        <v>3</v>
      </c>
      <c r="BF128" s="1">
        <v>0</v>
      </c>
      <c r="BG128" s="1">
        <v>0</v>
      </c>
      <c r="BH128" s="1">
        <v>1</v>
      </c>
      <c r="BI128" s="1">
        <v>0</v>
      </c>
      <c r="BJ128" s="1">
        <v>0</v>
      </c>
      <c r="BK128" s="1">
        <v>3</v>
      </c>
      <c r="BL128" s="1">
        <v>4</v>
      </c>
      <c r="BM128" s="1">
        <v>0</v>
      </c>
      <c r="BN128" s="1">
        <v>0</v>
      </c>
      <c r="BO128" s="1">
        <v>0</v>
      </c>
    </row>
    <row r="129" hidden="1" spans="1:67">
      <c r="A129" s="18">
        <v>43720</v>
      </c>
      <c r="B129" s="2">
        <v>43506</v>
      </c>
      <c r="C129" s="18">
        <v>43751</v>
      </c>
      <c r="D129" s="18">
        <f ca="1" t="shared" ref="D129:I129" si="124">C129</f>
        <v>43751</v>
      </c>
      <c r="E129" s="18">
        <v>43752</v>
      </c>
      <c r="F129" s="18">
        <f ca="1" t="shared" si="124"/>
        <v>43752</v>
      </c>
      <c r="G129" s="18">
        <v>43751</v>
      </c>
      <c r="H129" s="18">
        <v>43765</v>
      </c>
      <c r="I129" s="18">
        <f ca="1" t="shared" si="124"/>
        <v>43765</v>
      </c>
      <c r="J129" s="18">
        <f ca="1" t="shared" si="66"/>
        <v>43765</v>
      </c>
      <c r="L129" s="1">
        <v>34.6</v>
      </c>
      <c r="M129" s="1">
        <v>148</v>
      </c>
      <c r="N129" s="1">
        <v>32.1</v>
      </c>
      <c r="O129" s="1">
        <v>4367.7</v>
      </c>
      <c r="P129" s="1">
        <v>0</v>
      </c>
      <c r="Q129" s="1">
        <v>0</v>
      </c>
      <c r="R129" s="1">
        <v>0</v>
      </c>
      <c r="S129" s="1">
        <v>0</v>
      </c>
      <c r="T129" s="1">
        <v>0</v>
      </c>
      <c r="U129" s="1" t="s">
        <v>3347</v>
      </c>
      <c r="V129" s="1" t="s">
        <v>3347</v>
      </c>
      <c r="W129" s="1">
        <v>1</v>
      </c>
      <c r="X129" s="1">
        <v>0</v>
      </c>
      <c r="Y129" s="1">
        <v>1</v>
      </c>
      <c r="Z129" s="1">
        <v>0</v>
      </c>
      <c r="AA129" s="1">
        <v>0</v>
      </c>
      <c r="AB129" s="1">
        <v>0</v>
      </c>
      <c r="AC129" s="1">
        <v>1</v>
      </c>
      <c r="AD129" s="1">
        <v>0</v>
      </c>
      <c r="AE129" s="1">
        <v>0</v>
      </c>
      <c r="AF129" s="1">
        <v>0</v>
      </c>
      <c r="AG129" s="1">
        <v>0</v>
      </c>
      <c r="AH129" s="1">
        <v>0</v>
      </c>
      <c r="AI129" s="1">
        <v>0</v>
      </c>
      <c r="AJ129" s="1">
        <v>0</v>
      </c>
      <c r="AK129" s="1">
        <v>0</v>
      </c>
      <c r="AL129" s="1">
        <v>0</v>
      </c>
      <c r="AM129" s="1">
        <v>0</v>
      </c>
      <c r="AN129" s="1">
        <v>0</v>
      </c>
      <c r="AO129" s="1">
        <v>1</v>
      </c>
      <c r="AP129" s="1">
        <v>0</v>
      </c>
      <c r="AQ129" s="1">
        <v>3</v>
      </c>
      <c r="AR129" s="1">
        <v>0</v>
      </c>
      <c r="AS129" s="1">
        <v>0</v>
      </c>
      <c r="AT129" s="1">
        <v>0</v>
      </c>
      <c r="AU129" s="1">
        <v>0</v>
      </c>
      <c r="AV129" s="1">
        <v>0</v>
      </c>
      <c r="AW129" s="1">
        <v>1</v>
      </c>
      <c r="AX129" s="1">
        <v>3</v>
      </c>
      <c r="AY129" s="1">
        <v>3</v>
      </c>
      <c r="AZ129" s="1">
        <v>0</v>
      </c>
      <c r="BA129" s="1">
        <v>0</v>
      </c>
      <c r="BB129" s="1">
        <v>2</v>
      </c>
      <c r="BC129" s="1">
        <v>0</v>
      </c>
      <c r="BD129" s="1">
        <v>0</v>
      </c>
      <c r="BE129" s="1">
        <v>3</v>
      </c>
      <c r="BF129" s="1">
        <v>0</v>
      </c>
      <c r="BG129" s="1">
        <v>0</v>
      </c>
      <c r="BH129" s="1">
        <v>0</v>
      </c>
      <c r="BI129" s="1">
        <v>0</v>
      </c>
      <c r="BJ129" s="1">
        <v>0</v>
      </c>
      <c r="BK129" s="1">
        <v>0</v>
      </c>
      <c r="BL129" s="1">
        <v>4</v>
      </c>
      <c r="BM129" s="1">
        <v>0</v>
      </c>
      <c r="BN129" s="1" t="s">
        <v>3355</v>
      </c>
      <c r="BO129" s="1">
        <v>0</v>
      </c>
    </row>
    <row r="130" hidden="1" spans="1:67">
      <c r="A130" s="18">
        <v>43720</v>
      </c>
      <c r="B130" s="2">
        <v>43506</v>
      </c>
      <c r="C130" s="18">
        <v>43751</v>
      </c>
      <c r="D130" s="18">
        <f ca="1" t="shared" ref="D130:I130" si="125">C130</f>
        <v>43751</v>
      </c>
      <c r="E130" s="18">
        <v>43752</v>
      </c>
      <c r="F130" s="18">
        <f ca="1" t="shared" si="125"/>
        <v>43752</v>
      </c>
      <c r="G130" s="18">
        <v>43751</v>
      </c>
      <c r="H130" s="18">
        <v>43765</v>
      </c>
      <c r="I130" s="18">
        <f ca="1" t="shared" si="125"/>
        <v>43765</v>
      </c>
      <c r="J130" s="18">
        <f ca="1" t="shared" si="66"/>
        <v>43765</v>
      </c>
      <c r="L130" s="1">
        <v>32</v>
      </c>
      <c r="M130" s="1" t="s">
        <v>3402</v>
      </c>
      <c r="N130" s="1">
        <v>38.2</v>
      </c>
      <c r="O130" s="1">
        <v>4399.7</v>
      </c>
      <c r="P130" s="1">
        <v>0</v>
      </c>
      <c r="Q130" s="1">
        <v>0</v>
      </c>
      <c r="R130" s="1">
        <v>0</v>
      </c>
      <c r="S130" s="1">
        <v>0</v>
      </c>
      <c r="T130" s="1">
        <v>0</v>
      </c>
      <c r="U130" s="1">
        <v>0</v>
      </c>
      <c r="V130" s="1" t="s">
        <v>3329</v>
      </c>
      <c r="W130" s="1">
        <v>0</v>
      </c>
      <c r="X130" s="1">
        <v>1</v>
      </c>
      <c r="Y130" s="1">
        <v>0</v>
      </c>
      <c r="Z130" s="1">
        <v>0</v>
      </c>
      <c r="AA130" s="1">
        <v>1</v>
      </c>
      <c r="AB130" s="1">
        <v>0</v>
      </c>
      <c r="AC130" s="1">
        <v>0</v>
      </c>
      <c r="AD130" s="1">
        <v>0</v>
      </c>
      <c r="AE130" s="1">
        <v>0</v>
      </c>
      <c r="AF130" s="1">
        <v>0</v>
      </c>
      <c r="AG130" s="1">
        <v>0</v>
      </c>
      <c r="AH130" s="1">
        <v>0</v>
      </c>
      <c r="AI130" s="1">
        <v>0</v>
      </c>
      <c r="AJ130" s="1">
        <v>0</v>
      </c>
      <c r="AK130" s="1">
        <v>0</v>
      </c>
      <c r="AL130" s="1">
        <v>0</v>
      </c>
      <c r="AM130" s="1">
        <v>0</v>
      </c>
      <c r="AN130" s="1">
        <v>0</v>
      </c>
      <c r="AO130" s="1">
        <v>1</v>
      </c>
      <c r="AP130" s="1">
        <v>0</v>
      </c>
      <c r="AQ130" s="1">
        <v>3</v>
      </c>
      <c r="AR130" s="1">
        <v>0</v>
      </c>
      <c r="AS130" s="1">
        <v>0</v>
      </c>
      <c r="AT130" s="1">
        <v>0</v>
      </c>
      <c r="AU130" s="1">
        <v>0</v>
      </c>
      <c r="AV130" s="1">
        <v>0</v>
      </c>
      <c r="AW130" s="1">
        <v>1</v>
      </c>
      <c r="AX130" s="1">
        <v>0</v>
      </c>
      <c r="AY130" s="1">
        <v>0</v>
      </c>
      <c r="AZ130" s="1">
        <v>0</v>
      </c>
      <c r="BA130" s="1">
        <v>0</v>
      </c>
      <c r="BB130" s="1">
        <v>0</v>
      </c>
      <c r="BC130" s="1">
        <v>0</v>
      </c>
      <c r="BD130" s="1">
        <v>0</v>
      </c>
      <c r="BE130" s="1">
        <v>3</v>
      </c>
      <c r="BF130" s="1">
        <v>0</v>
      </c>
      <c r="BG130" s="1">
        <v>0</v>
      </c>
      <c r="BH130" s="1">
        <v>0</v>
      </c>
      <c r="BI130" s="1">
        <v>0</v>
      </c>
      <c r="BJ130" s="1">
        <v>0</v>
      </c>
      <c r="BK130" s="1">
        <v>0</v>
      </c>
      <c r="BL130" s="1">
        <v>0</v>
      </c>
      <c r="BM130" s="1">
        <v>0</v>
      </c>
      <c r="BN130" s="1">
        <v>0</v>
      </c>
      <c r="BO130" s="1">
        <v>0</v>
      </c>
    </row>
    <row r="131" hidden="1" spans="1:67">
      <c r="A131" s="18">
        <v>43720</v>
      </c>
      <c r="B131" s="2">
        <v>43506</v>
      </c>
      <c r="C131" s="18">
        <v>43751</v>
      </c>
      <c r="D131" s="18">
        <f ca="1" t="shared" ref="D131:I131" si="126">C131</f>
        <v>43751</v>
      </c>
      <c r="E131" s="18">
        <v>43752</v>
      </c>
      <c r="F131" s="18">
        <f ca="1" t="shared" si="126"/>
        <v>43752</v>
      </c>
      <c r="G131" s="18">
        <v>43765</v>
      </c>
      <c r="H131" s="18">
        <v>43765</v>
      </c>
      <c r="I131" s="18">
        <f ca="1" t="shared" si="126"/>
        <v>43765</v>
      </c>
      <c r="J131" s="18">
        <f ca="1" t="shared" si="66"/>
        <v>43765</v>
      </c>
      <c r="L131" s="1">
        <v>30.5</v>
      </c>
      <c r="M131" s="1">
        <v>149</v>
      </c>
      <c r="N131" s="1">
        <v>25</v>
      </c>
      <c r="O131" s="1">
        <v>4430.2</v>
      </c>
      <c r="P131" s="1">
        <v>0</v>
      </c>
      <c r="Q131" s="1">
        <v>0</v>
      </c>
      <c r="R131" s="1">
        <v>0</v>
      </c>
      <c r="S131" s="1">
        <v>0</v>
      </c>
      <c r="T131" s="1">
        <v>0</v>
      </c>
      <c r="U131" s="1" t="s">
        <v>3329</v>
      </c>
      <c r="V131" s="1" t="s">
        <v>3329</v>
      </c>
      <c r="W131" s="1">
        <v>1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0</v>
      </c>
      <c r="AD131" s="1">
        <v>0</v>
      </c>
      <c r="AE131" s="1">
        <v>0</v>
      </c>
      <c r="AF131" s="1">
        <v>0</v>
      </c>
      <c r="AG131" s="1">
        <v>0</v>
      </c>
      <c r="AH131" s="1">
        <v>0</v>
      </c>
      <c r="AI131" s="1">
        <v>0</v>
      </c>
      <c r="AJ131" s="1">
        <v>0</v>
      </c>
      <c r="AK131" s="1">
        <v>0</v>
      </c>
      <c r="AL131" s="1">
        <v>0</v>
      </c>
      <c r="AM131" s="1">
        <v>0</v>
      </c>
      <c r="AN131" s="1">
        <v>0</v>
      </c>
      <c r="AO131" s="1">
        <v>1</v>
      </c>
      <c r="AP131" s="1">
        <v>0</v>
      </c>
      <c r="AQ131" s="1">
        <v>3</v>
      </c>
      <c r="AR131" s="1">
        <v>0</v>
      </c>
      <c r="AS131" s="1">
        <v>0</v>
      </c>
      <c r="AT131" s="1">
        <v>0</v>
      </c>
      <c r="AU131" s="1">
        <v>0</v>
      </c>
      <c r="AV131" s="1">
        <v>0</v>
      </c>
      <c r="AW131" s="1">
        <v>1</v>
      </c>
      <c r="AX131" s="1">
        <v>0</v>
      </c>
      <c r="AY131" s="1">
        <v>0</v>
      </c>
      <c r="AZ131" s="1">
        <v>0</v>
      </c>
      <c r="BA131" s="1">
        <v>0</v>
      </c>
      <c r="BB131" s="1">
        <v>0</v>
      </c>
      <c r="BC131" s="1">
        <v>0</v>
      </c>
      <c r="BD131" s="1">
        <v>0</v>
      </c>
      <c r="BE131" s="1">
        <v>3</v>
      </c>
      <c r="BF131" s="1">
        <v>0</v>
      </c>
      <c r="BG131" s="1">
        <v>0</v>
      </c>
      <c r="BH131" s="1">
        <v>0</v>
      </c>
      <c r="BI131" s="1">
        <v>0</v>
      </c>
      <c r="BJ131" s="1">
        <v>0</v>
      </c>
      <c r="BK131" s="1">
        <v>0</v>
      </c>
      <c r="BL131" s="1">
        <v>0</v>
      </c>
      <c r="BM131" s="1">
        <v>0</v>
      </c>
      <c r="BN131" s="1">
        <v>0</v>
      </c>
      <c r="BO131" s="1">
        <v>0</v>
      </c>
    </row>
    <row r="132" hidden="1" spans="1:67">
      <c r="A132" s="18">
        <v>43720</v>
      </c>
      <c r="B132" s="2">
        <v>43506</v>
      </c>
      <c r="C132" s="18">
        <v>43751</v>
      </c>
      <c r="D132" s="18">
        <f ca="1" t="shared" ref="D132:I132" si="127">C132</f>
        <v>43751</v>
      </c>
      <c r="E132" s="18">
        <v>43752</v>
      </c>
      <c r="F132" s="18">
        <f ca="1" t="shared" si="127"/>
        <v>43752</v>
      </c>
      <c r="G132" s="18">
        <v>43751</v>
      </c>
      <c r="H132" s="18">
        <v>43765</v>
      </c>
      <c r="I132" s="18">
        <f ca="1" t="shared" si="127"/>
        <v>43765</v>
      </c>
      <c r="J132" s="18">
        <f ca="1" t="shared" si="66"/>
        <v>43765</v>
      </c>
      <c r="L132" s="1">
        <v>27</v>
      </c>
      <c r="M132" s="1" t="s">
        <v>3403</v>
      </c>
      <c r="N132" s="1">
        <v>30.2</v>
      </c>
      <c r="O132" s="1">
        <v>4457.2</v>
      </c>
      <c r="P132" s="1">
        <v>0</v>
      </c>
      <c r="Q132" s="1">
        <v>0</v>
      </c>
      <c r="R132" s="1">
        <v>0</v>
      </c>
      <c r="S132" s="1">
        <v>0</v>
      </c>
      <c r="T132" s="1">
        <v>0</v>
      </c>
      <c r="U132" s="1">
        <v>0</v>
      </c>
      <c r="V132" s="1" t="s">
        <v>3329</v>
      </c>
      <c r="W132" s="1">
        <v>0</v>
      </c>
      <c r="X132" s="1">
        <v>1</v>
      </c>
      <c r="Y132" s="1">
        <v>0</v>
      </c>
      <c r="Z132" s="1">
        <v>0</v>
      </c>
      <c r="AA132" s="1">
        <v>1</v>
      </c>
      <c r="AB132" s="1">
        <v>0</v>
      </c>
      <c r="AC132" s="1">
        <v>0</v>
      </c>
      <c r="AD132" s="1">
        <v>0</v>
      </c>
      <c r="AE132" s="1">
        <v>0</v>
      </c>
      <c r="AF132" s="1">
        <v>0</v>
      </c>
      <c r="AG132" s="1">
        <v>0</v>
      </c>
      <c r="AH132" s="1">
        <v>0</v>
      </c>
      <c r="AI132" s="1">
        <v>0</v>
      </c>
      <c r="AJ132" s="1">
        <v>0</v>
      </c>
      <c r="AK132" s="1">
        <v>0</v>
      </c>
      <c r="AL132" s="1">
        <v>0</v>
      </c>
      <c r="AM132" s="1">
        <v>0</v>
      </c>
      <c r="AN132" s="1">
        <v>0</v>
      </c>
      <c r="AO132" s="1">
        <v>1</v>
      </c>
      <c r="AP132" s="1">
        <v>0</v>
      </c>
      <c r="AQ132" s="1">
        <v>3</v>
      </c>
      <c r="AR132" s="1">
        <v>0</v>
      </c>
      <c r="AS132" s="1">
        <v>0</v>
      </c>
      <c r="AT132" s="1">
        <v>0</v>
      </c>
      <c r="AU132" s="1">
        <v>0</v>
      </c>
      <c r="AV132" s="1">
        <v>0</v>
      </c>
      <c r="AW132" s="1">
        <v>1</v>
      </c>
      <c r="AX132" s="1">
        <v>0</v>
      </c>
      <c r="AY132" s="1">
        <v>0</v>
      </c>
      <c r="AZ132" s="1">
        <v>0</v>
      </c>
      <c r="BA132" s="1">
        <v>0</v>
      </c>
      <c r="BB132" s="1">
        <v>0</v>
      </c>
      <c r="BC132" s="1">
        <v>0</v>
      </c>
      <c r="BD132" s="1">
        <v>0</v>
      </c>
      <c r="BE132" s="1">
        <v>3</v>
      </c>
      <c r="BF132" s="1">
        <v>0</v>
      </c>
      <c r="BG132" s="1">
        <v>0</v>
      </c>
      <c r="BH132" s="1">
        <v>1</v>
      </c>
      <c r="BI132" s="1">
        <v>0</v>
      </c>
      <c r="BJ132" s="1">
        <v>0</v>
      </c>
      <c r="BK132" s="1">
        <v>2</v>
      </c>
      <c r="BL132" s="1">
        <v>4</v>
      </c>
      <c r="BM132" s="1">
        <v>0</v>
      </c>
      <c r="BN132" s="1">
        <v>0</v>
      </c>
      <c r="BO132" s="1">
        <v>0</v>
      </c>
    </row>
    <row r="133" hidden="1" spans="1:67">
      <c r="A133" s="18">
        <v>43724</v>
      </c>
      <c r="B133" s="2">
        <v>43506</v>
      </c>
      <c r="C133" s="18">
        <v>43751</v>
      </c>
      <c r="D133" s="18">
        <f ca="1" t="shared" ref="D133:I133" si="128">C133</f>
        <v>43751</v>
      </c>
      <c r="E133" s="18">
        <v>43752</v>
      </c>
      <c r="F133" s="18">
        <f ca="1" t="shared" si="128"/>
        <v>43752</v>
      </c>
      <c r="G133" s="18">
        <v>43751</v>
      </c>
      <c r="H133" s="18">
        <v>43765</v>
      </c>
      <c r="I133" s="18">
        <f ca="1" t="shared" si="128"/>
        <v>43765</v>
      </c>
      <c r="J133" s="18">
        <f ca="1" t="shared" si="66"/>
        <v>43765</v>
      </c>
      <c r="L133" s="1">
        <v>28.3</v>
      </c>
      <c r="M133" s="1">
        <v>150</v>
      </c>
      <c r="N133" s="1">
        <v>28.5</v>
      </c>
      <c r="O133" s="1">
        <v>4485.5</v>
      </c>
      <c r="P133" s="1">
        <v>0</v>
      </c>
      <c r="Q133" s="1">
        <v>0</v>
      </c>
      <c r="R133" s="1">
        <v>0</v>
      </c>
      <c r="S133" s="1">
        <v>0</v>
      </c>
      <c r="T133" s="1">
        <v>0</v>
      </c>
      <c r="U133" s="1" t="s">
        <v>3404</v>
      </c>
      <c r="V133" s="1" t="s">
        <v>3404</v>
      </c>
      <c r="W133" s="1">
        <v>1</v>
      </c>
      <c r="X133" s="1">
        <v>0</v>
      </c>
      <c r="Y133" s="1">
        <v>1</v>
      </c>
      <c r="Z133" s="1">
        <v>0</v>
      </c>
      <c r="AA133" s="1">
        <v>0</v>
      </c>
      <c r="AB133" s="1">
        <v>0</v>
      </c>
      <c r="AC133" s="1">
        <v>1</v>
      </c>
      <c r="AD133" s="1">
        <v>0</v>
      </c>
      <c r="AE133" s="1">
        <v>0</v>
      </c>
      <c r="AF133" s="1">
        <v>2</v>
      </c>
      <c r="AG133" s="1">
        <v>0</v>
      </c>
      <c r="AH133" s="1">
        <v>0</v>
      </c>
      <c r="AI133" s="1">
        <v>0</v>
      </c>
      <c r="AJ133" s="1">
        <v>0</v>
      </c>
      <c r="AK133" s="1">
        <v>0</v>
      </c>
      <c r="AL133" s="1">
        <v>0</v>
      </c>
      <c r="AM133" s="1">
        <v>1</v>
      </c>
      <c r="AN133" s="1">
        <v>0</v>
      </c>
      <c r="AO133" s="1">
        <v>0</v>
      </c>
      <c r="AP133" s="1">
        <v>0</v>
      </c>
      <c r="AQ133" s="1">
        <v>6</v>
      </c>
      <c r="AR133" s="1">
        <v>6</v>
      </c>
      <c r="AS133" s="1">
        <v>0</v>
      </c>
      <c r="AT133" s="1">
        <v>0</v>
      </c>
      <c r="AU133" s="1">
        <v>6</v>
      </c>
      <c r="AV133" s="1">
        <v>2</v>
      </c>
      <c r="AW133" s="1">
        <v>0</v>
      </c>
      <c r="AX133" s="1">
        <v>3</v>
      </c>
      <c r="AY133" s="1">
        <v>3</v>
      </c>
      <c r="AZ133" s="1">
        <v>0</v>
      </c>
      <c r="BA133" s="1">
        <v>0</v>
      </c>
      <c r="BB133" s="1">
        <v>4</v>
      </c>
      <c r="BC133" s="1">
        <v>6</v>
      </c>
      <c r="BD133" s="1">
        <v>0</v>
      </c>
      <c r="BE133" s="1">
        <v>6</v>
      </c>
      <c r="BF133" s="1">
        <v>0</v>
      </c>
      <c r="BG133" s="1">
        <v>0</v>
      </c>
      <c r="BH133" s="1">
        <v>0</v>
      </c>
      <c r="BI133" s="1">
        <v>0</v>
      </c>
      <c r="BJ133" s="1">
        <v>0</v>
      </c>
      <c r="BK133" s="1">
        <v>0</v>
      </c>
      <c r="BL133" s="1">
        <v>4</v>
      </c>
      <c r="BM133" s="1">
        <v>1.2</v>
      </c>
      <c r="BN133" s="1">
        <v>0</v>
      </c>
      <c r="BO133" s="1">
        <v>0</v>
      </c>
    </row>
    <row r="134" hidden="1" spans="1:67">
      <c r="A134" s="18">
        <v>43724</v>
      </c>
      <c r="B134" s="2">
        <v>43506</v>
      </c>
      <c r="C134" s="18">
        <v>43751</v>
      </c>
      <c r="D134" s="18">
        <f ca="1" t="shared" ref="D134:I134" si="129">C134</f>
        <v>43751</v>
      </c>
      <c r="E134" s="18">
        <v>43752</v>
      </c>
      <c r="F134" s="18">
        <f ca="1" t="shared" si="129"/>
        <v>43752</v>
      </c>
      <c r="G134" s="18">
        <v>43751</v>
      </c>
      <c r="H134" s="18">
        <v>43765</v>
      </c>
      <c r="I134" s="18">
        <f ca="1" t="shared" si="129"/>
        <v>43765</v>
      </c>
      <c r="J134" s="18">
        <f ca="1" t="shared" si="66"/>
        <v>43765</v>
      </c>
      <c r="L134" s="1">
        <v>37</v>
      </c>
      <c r="M134" s="1" t="s">
        <v>3405</v>
      </c>
      <c r="N134" s="1">
        <v>41.4</v>
      </c>
      <c r="O134" s="1">
        <v>4522.5</v>
      </c>
      <c r="P134" s="1">
        <v>0</v>
      </c>
      <c r="Q134" s="1">
        <v>0</v>
      </c>
      <c r="R134" s="1">
        <v>0</v>
      </c>
      <c r="S134" s="1">
        <v>0</v>
      </c>
      <c r="T134" s="1">
        <v>0</v>
      </c>
      <c r="U134" s="1">
        <v>0</v>
      </c>
      <c r="V134" s="1" t="s">
        <v>3329</v>
      </c>
      <c r="W134" s="1">
        <v>0</v>
      </c>
      <c r="X134" s="1">
        <v>1</v>
      </c>
      <c r="Y134" s="1">
        <v>0</v>
      </c>
      <c r="Z134" s="1">
        <v>1</v>
      </c>
      <c r="AA134" s="1">
        <v>0</v>
      </c>
      <c r="AB134" s="1">
        <v>0</v>
      </c>
      <c r="AC134" s="1">
        <v>0</v>
      </c>
      <c r="AD134" s="1">
        <v>0</v>
      </c>
      <c r="AE134" s="1">
        <v>0</v>
      </c>
      <c r="AF134" s="1">
        <v>0</v>
      </c>
      <c r="AG134" s="1">
        <v>0</v>
      </c>
      <c r="AH134" s="1">
        <v>0</v>
      </c>
      <c r="AI134" s="1">
        <v>0</v>
      </c>
      <c r="AJ134" s="1">
        <v>1</v>
      </c>
      <c r="AK134" s="1">
        <v>0</v>
      </c>
      <c r="AL134" s="1">
        <v>0</v>
      </c>
      <c r="AM134" s="1">
        <v>0</v>
      </c>
      <c r="AN134" s="1">
        <v>0</v>
      </c>
      <c r="AO134" s="1">
        <v>1</v>
      </c>
      <c r="AP134" s="1">
        <v>0</v>
      </c>
      <c r="AQ134" s="1">
        <v>3</v>
      </c>
      <c r="AR134" s="1">
        <v>0</v>
      </c>
      <c r="AS134" s="1">
        <v>0</v>
      </c>
      <c r="AT134" s="1">
        <v>0</v>
      </c>
      <c r="AU134" s="1">
        <v>0</v>
      </c>
      <c r="AV134" s="1">
        <v>0</v>
      </c>
      <c r="AW134" s="1">
        <v>1</v>
      </c>
      <c r="AX134" s="1">
        <v>0</v>
      </c>
      <c r="AY134" s="1">
        <v>0</v>
      </c>
      <c r="AZ134" s="1">
        <v>0</v>
      </c>
      <c r="BA134" s="1">
        <v>0</v>
      </c>
      <c r="BB134" s="1">
        <v>0</v>
      </c>
      <c r="BC134" s="1">
        <v>0</v>
      </c>
      <c r="BD134" s="1">
        <v>0</v>
      </c>
      <c r="BE134" s="1">
        <v>3</v>
      </c>
      <c r="BF134" s="1">
        <v>0</v>
      </c>
      <c r="BG134" s="1">
        <v>0</v>
      </c>
      <c r="BH134" s="1">
        <v>1</v>
      </c>
      <c r="BI134" s="1">
        <v>0</v>
      </c>
      <c r="BJ134" s="1">
        <v>0</v>
      </c>
      <c r="BK134" s="1">
        <v>1</v>
      </c>
      <c r="BL134" s="1">
        <v>4</v>
      </c>
      <c r="BM134" s="1">
        <v>0</v>
      </c>
      <c r="BN134" s="1">
        <v>0</v>
      </c>
      <c r="BO134" s="1">
        <v>0</v>
      </c>
    </row>
    <row r="135" hidden="1" spans="1:67">
      <c r="A135" s="18">
        <v>43724</v>
      </c>
      <c r="B135" s="2">
        <v>43506</v>
      </c>
      <c r="C135" s="18">
        <v>43751</v>
      </c>
      <c r="D135" s="18">
        <f ca="1" t="shared" ref="D135:I135" si="130">C135</f>
        <v>43751</v>
      </c>
      <c r="E135" s="18">
        <v>43752</v>
      </c>
      <c r="F135" s="18">
        <f ca="1" t="shared" si="130"/>
        <v>43752</v>
      </c>
      <c r="G135" s="18">
        <v>43765</v>
      </c>
      <c r="H135" s="18">
        <v>43765</v>
      </c>
      <c r="I135" s="18">
        <f ca="1" t="shared" si="130"/>
        <v>43765</v>
      </c>
      <c r="J135" s="18">
        <f ca="1" t="shared" ref="J135:J182" si="131">H135</f>
        <v>43765</v>
      </c>
      <c r="L135" s="1">
        <v>37.1</v>
      </c>
      <c r="M135" s="1">
        <v>151</v>
      </c>
      <c r="N135" s="1">
        <v>30.1</v>
      </c>
      <c r="O135" s="1">
        <v>4559.6</v>
      </c>
      <c r="P135" s="1">
        <v>12</v>
      </c>
      <c r="Q135" s="1">
        <v>3</v>
      </c>
      <c r="R135" s="1">
        <v>0</v>
      </c>
      <c r="S135" s="1">
        <v>0</v>
      </c>
      <c r="T135" s="1">
        <v>3</v>
      </c>
      <c r="U135" s="1" t="s">
        <v>3347</v>
      </c>
      <c r="V135" s="1" t="s">
        <v>3347</v>
      </c>
      <c r="W135" s="1">
        <v>1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0</v>
      </c>
      <c r="AE135" s="1">
        <v>0</v>
      </c>
      <c r="AF135" s="1">
        <v>0</v>
      </c>
      <c r="AG135" s="1">
        <v>0</v>
      </c>
      <c r="AH135" s="1">
        <v>0</v>
      </c>
      <c r="AI135" s="1">
        <v>0</v>
      </c>
      <c r="AJ135" s="1">
        <v>0</v>
      </c>
      <c r="AK135" s="1">
        <v>0</v>
      </c>
      <c r="AL135" s="1">
        <v>0</v>
      </c>
      <c r="AM135" s="1">
        <v>0</v>
      </c>
      <c r="AN135" s="1">
        <v>0</v>
      </c>
      <c r="AO135" s="1">
        <v>1</v>
      </c>
      <c r="AP135" s="1">
        <v>0</v>
      </c>
      <c r="AQ135" s="1">
        <v>3</v>
      </c>
      <c r="AR135" s="1">
        <v>0</v>
      </c>
      <c r="AS135" s="1">
        <v>0</v>
      </c>
      <c r="AT135" s="1">
        <v>3</v>
      </c>
      <c r="AU135" s="1">
        <v>0</v>
      </c>
      <c r="AV135" s="1">
        <v>0</v>
      </c>
      <c r="AW135" s="1">
        <v>1</v>
      </c>
      <c r="AX135" s="1">
        <v>3</v>
      </c>
      <c r="AY135" s="1">
        <v>3</v>
      </c>
      <c r="AZ135" s="1">
        <v>2</v>
      </c>
      <c r="BA135" s="1">
        <v>0</v>
      </c>
      <c r="BB135" s="1">
        <v>2</v>
      </c>
      <c r="BC135" s="1">
        <v>0</v>
      </c>
      <c r="BD135" s="1">
        <v>0</v>
      </c>
      <c r="BE135" s="1">
        <v>3</v>
      </c>
      <c r="BF135" s="1">
        <v>0</v>
      </c>
      <c r="BG135" s="1">
        <v>0</v>
      </c>
      <c r="BH135" s="1">
        <v>0</v>
      </c>
      <c r="BI135" s="1">
        <v>0</v>
      </c>
      <c r="BJ135" s="1">
        <v>0</v>
      </c>
      <c r="BK135" s="1">
        <v>0</v>
      </c>
      <c r="BL135" s="1">
        <v>0</v>
      </c>
      <c r="BM135" s="1">
        <v>0</v>
      </c>
      <c r="BN135" s="1" t="s">
        <v>3355</v>
      </c>
      <c r="BO135" s="1">
        <v>0</v>
      </c>
    </row>
    <row r="136" hidden="1" spans="1:67">
      <c r="A136" s="18">
        <v>43724</v>
      </c>
      <c r="B136" s="2">
        <v>43506</v>
      </c>
      <c r="C136" s="18">
        <v>43751</v>
      </c>
      <c r="D136" s="18">
        <f ca="1" t="shared" ref="D136:I136" si="132">C136</f>
        <v>43751</v>
      </c>
      <c r="E136" s="18">
        <v>43752</v>
      </c>
      <c r="F136" s="18">
        <f ca="1" t="shared" si="132"/>
        <v>43752</v>
      </c>
      <c r="G136" s="18">
        <v>43751</v>
      </c>
      <c r="H136" s="18">
        <v>43765</v>
      </c>
      <c r="I136" s="18">
        <f ca="1" t="shared" si="132"/>
        <v>43765</v>
      </c>
      <c r="J136" s="18">
        <f ca="1" t="shared" si="131"/>
        <v>43765</v>
      </c>
      <c r="L136" s="1">
        <v>33</v>
      </c>
      <c r="M136" s="1" t="s">
        <v>3406</v>
      </c>
      <c r="N136" s="1">
        <v>31.4</v>
      </c>
      <c r="O136" s="1">
        <v>4592.6</v>
      </c>
      <c r="P136" s="1">
        <v>0</v>
      </c>
      <c r="Q136" s="1">
        <v>0</v>
      </c>
      <c r="R136" s="1">
        <v>0</v>
      </c>
      <c r="S136" s="1">
        <v>0</v>
      </c>
      <c r="T136" s="1">
        <v>0</v>
      </c>
      <c r="U136" s="1">
        <v>0</v>
      </c>
      <c r="V136" s="1" t="s">
        <v>3329</v>
      </c>
      <c r="W136" s="1">
        <v>0</v>
      </c>
      <c r="X136" s="1">
        <v>1</v>
      </c>
      <c r="Y136" s="1">
        <v>0</v>
      </c>
      <c r="Z136" s="1">
        <v>1</v>
      </c>
      <c r="AA136" s="1">
        <v>0</v>
      </c>
      <c r="AB136" s="1">
        <v>0</v>
      </c>
      <c r="AC136" s="1">
        <v>0</v>
      </c>
      <c r="AD136" s="1">
        <v>0</v>
      </c>
      <c r="AE136" s="1">
        <v>0</v>
      </c>
      <c r="AF136" s="1">
        <v>0</v>
      </c>
      <c r="AG136" s="1">
        <v>0</v>
      </c>
      <c r="AH136" s="1">
        <v>0</v>
      </c>
      <c r="AI136" s="1">
        <v>0</v>
      </c>
      <c r="AJ136" s="1">
        <v>0</v>
      </c>
      <c r="AK136" s="1">
        <v>0</v>
      </c>
      <c r="AL136" s="1">
        <v>0</v>
      </c>
      <c r="AM136" s="1">
        <v>0</v>
      </c>
      <c r="AN136" s="1">
        <v>0</v>
      </c>
      <c r="AO136" s="1">
        <v>1</v>
      </c>
      <c r="AP136" s="1">
        <v>0</v>
      </c>
      <c r="AQ136" s="1">
        <v>3</v>
      </c>
      <c r="AR136" s="1">
        <v>0</v>
      </c>
      <c r="AS136" s="1">
        <v>0</v>
      </c>
      <c r="AT136" s="1">
        <v>0</v>
      </c>
      <c r="AU136" s="1">
        <v>0</v>
      </c>
      <c r="AV136" s="1">
        <v>0</v>
      </c>
      <c r="AW136" s="1">
        <v>1</v>
      </c>
      <c r="AX136" s="1">
        <v>0</v>
      </c>
      <c r="AY136" s="1">
        <v>0</v>
      </c>
      <c r="AZ136" s="1">
        <v>0</v>
      </c>
      <c r="BA136" s="1">
        <v>0</v>
      </c>
      <c r="BB136" s="1">
        <v>0</v>
      </c>
      <c r="BC136" s="1">
        <v>0</v>
      </c>
      <c r="BD136" s="1">
        <v>0</v>
      </c>
      <c r="BE136" s="1">
        <v>3</v>
      </c>
      <c r="BF136" s="1">
        <v>0</v>
      </c>
      <c r="BG136" s="1">
        <v>0</v>
      </c>
      <c r="BH136" s="1">
        <v>0</v>
      </c>
      <c r="BI136" s="1">
        <v>0</v>
      </c>
      <c r="BJ136" s="1">
        <v>0</v>
      </c>
      <c r="BK136" s="1">
        <v>0</v>
      </c>
      <c r="BL136" s="1">
        <v>0</v>
      </c>
      <c r="BM136" s="1">
        <v>0</v>
      </c>
      <c r="BN136" s="1">
        <v>0</v>
      </c>
      <c r="BO136" s="1">
        <v>0</v>
      </c>
    </row>
    <row r="137" hidden="1" spans="1:67">
      <c r="A137" s="18">
        <v>43724</v>
      </c>
      <c r="B137" s="2">
        <v>43506</v>
      </c>
      <c r="C137" s="18">
        <v>43751</v>
      </c>
      <c r="D137" s="18">
        <f ca="1" t="shared" ref="D137:I137" si="133">C137</f>
        <v>43751</v>
      </c>
      <c r="E137" s="18">
        <v>43752</v>
      </c>
      <c r="F137" s="18">
        <f ca="1" t="shared" si="133"/>
        <v>43752</v>
      </c>
      <c r="G137" s="18">
        <v>43765</v>
      </c>
      <c r="H137" s="18">
        <v>43765</v>
      </c>
      <c r="I137" s="18">
        <f ca="1" t="shared" si="133"/>
        <v>43765</v>
      </c>
      <c r="J137" s="18">
        <f ca="1" t="shared" si="131"/>
        <v>43765</v>
      </c>
      <c r="L137" s="1">
        <v>33.1</v>
      </c>
      <c r="M137" s="1">
        <v>152</v>
      </c>
      <c r="N137" s="1">
        <v>36.2</v>
      </c>
      <c r="O137" s="1">
        <v>4625.7</v>
      </c>
      <c r="P137" s="1">
        <v>0</v>
      </c>
      <c r="Q137" s="1">
        <v>0</v>
      </c>
      <c r="R137" s="1">
        <v>0</v>
      </c>
      <c r="S137" s="1">
        <v>0</v>
      </c>
      <c r="T137" s="1">
        <v>0</v>
      </c>
      <c r="U137" s="1" t="s">
        <v>3329</v>
      </c>
      <c r="V137" s="1" t="s">
        <v>3329</v>
      </c>
      <c r="W137" s="1">
        <v>1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0</v>
      </c>
      <c r="AD137" s="1">
        <v>0</v>
      </c>
      <c r="AE137" s="1">
        <v>0</v>
      </c>
      <c r="AF137" s="1">
        <v>0</v>
      </c>
      <c r="AG137" s="1">
        <v>0</v>
      </c>
      <c r="AH137" s="1">
        <v>0</v>
      </c>
      <c r="AI137" s="1">
        <v>0</v>
      </c>
      <c r="AJ137" s="1">
        <v>0</v>
      </c>
      <c r="AK137" s="1">
        <v>0</v>
      </c>
      <c r="AL137" s="1">
        <v>0</v>
      </c>
      <c r="AM137" s="1">
        <v>0</v>
      </c>
      <c r="AN137" s="1">
        <v>0</v>
      </c>
      <c r="AO137" s="1">
        <v>1</v>
      </c>
      <c r="AP137" s="1">
        <v>0</v>
      </c>
      <c r="AQ137" s="1">
        <v>3</v>
      </c>
      <c r="AR137" s="1">
        <v>0</v>
      </c>
      <c r="AS137" s="1">
        <v>0</v>
      </c>
      <c r="AT137" s="1">
        <v>0</v>
      </c>
      <c r="AU137" s="1">
        <v>0</v>
      </c>
      <c r="AV137" s="1">
        <v>0</v>
      </c>
      <c r="AW137" s="1">
        <v>1</v>
      </c>
      <c r="AX137" s="1">
        <v>0</v>
      </c>
      <c r="AY137" s="1">
        <v>0</v>
      </c>
      <c r="AZ137" s="1">
        <v>0</v>
      </c>
      <c r="BA137" s="1">
        <v>0</v>
      </c>
      <c r="BB137" s="1">
        <v>0</v>
      </c>
      <c r="BC137" s="1">
        <v>0</v>
      </c>
      <c r="BD137" s="1">
        <v>0</v>
      </c>
      <c r="BE137" s="1">
        <v>3</v>
      </c>
      <c r="BF137" s="1">
        <v>0</v>
      </c>
      <c r="BG137" s="1">
        <v>0</v>
      </c>
      <c r="BH137" s="1">
        <v>0</v>
      </c>
      <c r="BI137" s="1">
        <v>0</v>
      </c>
      <c r="BJ137" s="1">
        <v>0</v>
      </c>
      <c r="BK137" s="1">
        <v>0</v>
      </c>
      <c r="BL137" s="1">
        <v>0</v>
      </c>
      <c r="BM137" s="1">
        <v>0</v>
      </c>
      <c r="BN137" s="1">
        <v>0</v>
      </c>
      <c r="BO137" s="1">
        <v>0</v>
      </c>
    </row>
    <row r="138" hidden="1" spans="1:67">
      <c r="A138" s="18">
        <v>43724</v>
      </c>
      <c r="B138" s="2">
        <v>43506</v>
      </c>
      <c r="C138" s="18">
        <v>43751</v>
      </c>
      <c r="D138" s="18">
        <f ca="1" t="shared" ref="D138:I138" si="134">C138</f>
        <v>43751</v>
      </c>
      <c r="E138" s="18">
        <v>43752</v>
      </c>
      <c r="F138" s="18">
        <f ca="1" t="shared" si="134"/>
        <v>43752</v>
      </c>
      <c r="G138" s="18">
        <v>43751</v>
      </c>
      <c r="H138" s="18">
        <v>43765</v>
      </c>
      <c r="I138" s="18">
        <f ca="1" t="shared" si="134"/>
        <v>43765</v>
      </c>
      <c r="J138" s="18">
        <f ca="1" t="shared" si="131"/>
        <v>43765</v>
      </c>
      <c r="L138" s="1">
        <v>34</v>
      </c>
      <c r="M138" s="1" t="s">
        <v>3407</v>
      </c>
      <c r="N138" s="1">
        <v>32.1</v>
      </c>
      <c r="O138" s="1">
        <v>4659.7</v>
      </c>
      <c r="P138" s="1">
        <v>0</v>
      </c>
      <c r="Q138" s="1">
        <v>0</v>
      </c>
      <c r="R138" s="1">
        <v>0</v>
      </c>
      <c r="S138" s="1">
        <v>0</v>
      </c>
      <c r="T138" s="1">
        <v>0</v>
      </c>
      <c r="U138" s="1">
        <v>0</v>
      </c>
      <c r="V138" s="1" t="s">
        <v>3329</v>
      </c>
      <c r="W138" s="1">
        <v>0</v>
      </c>
      <c r="X138" s="1">
        <v>1</v>
      </c>
      <c r="Y138" s="1">
        <v>0</v>
      </c>
      <c r="Z138" s="1">
        <v>1</v>
      </c>
      <c r="AA138" s="1">
        <v>0</v>
      </c>
      <c r="AB138" s="1">
        <v>0</v>
      </c>
      <c r="AC138" s="1">
        <v>0</v>
      </c>
      <c r="AD138" s="1">
        <v>0</v>
      </c>
      <c r="AE138" s="1">
        <v>0</v>
      </c>
      <c r="AF138" s="1">
        <v>0</v>
      </c>
      <c r="AG138" s="1">
        <v>0</v>
      </c>
      <c r="AH138" s="1">
        <v>0</v>
      </c>
      <c r="AI138" s="1">
        <v>0</v>
      </c>
      <c r="AJ138" s="1">
        <v>0</v>
      </c>
      <c r="AK138" s="1">
        <v>0</v>
      </c>
      <c r="AL138" s="1">
        <v>0</v>
      </c>
      <c r="AM138" s="1">
        <v>0</v>
      </c>
      <c r="AN138" s="1">
        <v>0</v>
      </c>
      <c r="AO138" s="1">
        <v>1</v>
      </c>
      <c r="AP138" s="1">
        <v>0</v>
      </c>
      <c r="AQ138" s="1">
        <v>3</v>
      </c>
      <c r="AR138" s="1">
        <v>0</v>
      </c>
      <c r="AS138" s="1">
        <v>0</v>
      </c>
      <c r="AT138" s="1">
        <v>0</v>
      </c>
      <c r="AU138" s="1">
        <v>0</v>
      </c>
      <c r="AV138" s="1">
        <v>0</v>
      </c>
      <c r="AW138" s="1">
        <v>1</v>
      </c>
      <c r="AX138" s="1">
        <v>0</v>
      </c>
      <c r="AY138" s="1">
        <v>0</v>
      </c>
      <c r="AZ138" s="1">
        <v>0</v>
      </c>
      <c r="BA138" s="1">
        <v>0</v>
      </c>
      <c r="BB138" s="1">
        <v>0</v>
      </c>
      <c r="BC138" s="1">
        <v>0</v>
      </c>
      <c r="BD138" s="1">
        <v>0</v>
      </c>
      <c r="BE138" s="1">
        <v>3</v>
      </c>
      <c r="BF138" s="1">
        <v>0</v>
      </c>
      <c r="BG138" s="1">
        <v>0</v>
      </c>
      <c r="BH138" s="1">
        <v>1</v>
      </c>
      <c r="BI138" s="1">
        <v>0</v>
      </c>
      <c r="BJ138" s="1">
        <v>0</v>
      </c>
      <c r="BK138" s="1">
        <v>2</v>
      </c>
      <c r="BL138" s="1">
        <v>4</v>
      </c>
      <c r="BM138" s="1">
        <v>0</v>
      </c>
      <c r="BN138" s="1">
        <v>0</v>
      </c>
      <c r="BO138" s="1">
        <v>0</v>
      </c>
    </row>
    <row r="139" hidden="1" spans="1:67">
      <c r="A139" s="18">
        <v>43724</v>
      </c>
      <c r="B139" s="2">
        <v>43506</v>
      </c>
      <c r="C139" s="18">
        <v>43751</v>
      </c>
      <c r="D139" s="18">
        <f ca="1" t="shared" ref="D139:I139" si="135">C139</f>
        <v>43751</v>
      </c>
      <c r="E139" s="18">
        <v>43752</v>
      </c>
      <c r="F139" s="18">
        <f ca="1" t="shared" si="135"/>
        <v>43752</v>
      </c>
      <c r="G139" s="18">
        <v>43765</v>
      </c>
      <c r="H139" s="18">
        <v>43765</v>
      </c>
      <c r="I139" s="18">
        <f ca="1" t="shared" si="135"/>
        <v>43765</v>
      </c>
      <c r="J139" s="18">
        <f ca="1" t="shared" si="131"/>
        <v>43765</v>
      </c>
      <c r="L139" s="1">
        <v>33.2</v>
      </c>
      <c r="M139" s="1">
        <v>153</v>
      </c>
      <c r="N139" s="1">
        <v>37.1</v>
      </c>
      <c r="O139" s="1">
        <v>4692.9</v>
      </c>
      <c r="P139" s="1">
        <v>0</v>
      </c>
      <c r="Q139" s="1">
        <v>0</v>
      </c>
      <c r="R139" s="1">
        <v>0</v>
      </c>
      <c r="S139" s="1">
        <v>0</v>
      </c>
      <c r="T139" s="1">
        <v>0</v>
      </c>
      <c r="U139" s="1" t="s">
        <v>3327</v>
      </c>
      <c r="V139" s="1" t="s">
        <v>3327</v>
      </c>
      <c r="W139" s="1">
        <v>1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0</v>
      </c>
      <c r="AD139" s="1">
        <v>1</v>
      </c>
      <c r="AE139" s="1">
        <v>0</v>
      </c>
      <c r="AF139" s="1">
        <v>0</v>
      </c>
      <c r="AG139" s="1">
        <v>0</v>
      </c>
      <c r="AH139" s="1">
        <v>0</v>
      </c>
      <c r="AI139" s="1">
        <v>0</v>
      </c>
      <c r="AJ139" s="1">
        <v>0</v>
      </c>
      <c r="AK139" s="1">
        <v>1</v>
      </c>
      <c r="AL139" s="1">
        <v>0</v>
      </c>
      <c r="AM139" s="1">
        <v>0</v>
      </c>
      <c r="AN139" s="1">
        <v>0</v>
      </c>
      <c r="AO139" s="1">
        <v>0</v>
      </c>
      <c r="AP139" s="1">
        <v>1</v>
      </c>
      <c r="AQ139" s="1">
        <v>6</v>
      </c>
      <c r="AR139" s="1">
        <v>0</v>
      </c>
      <c r="AS139" s="1">
        <v>0</v>
      </c>
      <c r="AT139" s="1">
        <v>0</v>
      </c>
      <c r="AU139" s="1">
        <v>0</v>
      </c>
      <c r="AV139" s="1">
        <v>0</v>
      </c>
      <c r="AW139" s="1">
        <v>1</v>
      </c>
      <c r="AX139" s="1">
        <v>0</v>
      </c>
      <c r="AY139" s="1">
        <v>0</v>
      </c>
      <c r="AZ139" s="1">
        <v>0</v>
      </c>
      <c r="BA139" s="1">
        <v>0</v>
      </c>
      <c r="BB139" s="1">
        <v>0</v>
      </c>
      <c r="BC139" s="1">
        <v>0</v>
      </c>
      <c r="BD139" s="1">
        <v>6</v>
      </c>
      <c r="BE139" s="1">
        <v>0</v>
      </c>
      <c r="BF139" s="1">
        <v>0</v>
      </c>
      <c r="BG139" s="1">
        <v>0</v>
      </c>
      <c r="BH139" s="1">
        <v>0</v>
      </c>
      <c r="BI139" s="1">
        <v>0</v>
      </c>
      <c r="BJ139" s="1">
        <v>0</v>
      </c>
      <c r="BK139" s="1">
        <v>0</v>
      </c>
      <c r="BL139" s="1">
        <v>0</v>
      </c>
      <c r="BM139" s="1">
        <v>0</v>
      </c>
      <c r="BN139" s="1">
        <v>0</v>
      </c>
      <c r="BO139" s="1">
        <v>0</v>
      </c>
    </row>
    <row r="140" hidden="1" spans="1:67">
      <c r="A140" s="18">
        <v>43724</v>
      </c>
      <c r="B140" s="2">
        <v>43506</v>
      </c>
      <c r="C140" s="18">
        <v>43751</v>
      </c>
      <c r="D140" s="18">
        <f ca="1" t="shared" ref="D140:I140" si="136">C140</f>
        <v>43751</v>
      </c>
      <c r="E140" s="18">
        <v>43752</v>
      </c>
      <c r="F140" s="18">
        <f ca="1" t="shared" si="136"/>
        <v>43752</v>
      </c>
      <c r="G140" s="18">
        <v>43751</v>
      </c>
      <c r="H140" s="18">
        <v>43765</v>
      </c>
      <c r="I140" s="18">
        <f ca="1" t="shared" si="136"/>
        <v>43765</v>
      </c>
      <c r="J140" s="18">
        <f ca="1" t="shared" si="131"/>
        <v>43765</v>
      </c>
      <c r="L140" s="1">
        <v>33</v>
      </c>
      <c r="M140" s="1" t="s">
        <v>3408</v>
      </c>
      <c r="N140" s="1">
        <v>32.1</v>
      </c>
      <c r="O140" s="1">
        <v>4725.9</v>
      </c>
      <c r="P140" s="1">
        <v>0</v>
      </c>
      <c r="Q140" s="1">
        <v>0</v>
      </c>
      <c r="R140" s="1">
        <v>0</v>
      </c>
      <c r="S140" s="1">
        <v>0</v>
      </c>
      <c r="T140" s="1">
        <v>0</v>
      </c>
      <c r="U140" s="1">
        <v>0</v>
      </c>
      <c r="V140" s="1" t="s">
        <v>3329</v>
      </c>
      <c r="W140" s="1">
        <v>0</v>
      </c>
      <c r="X140" s="1">
        <v>1</v>
      </c>
      <c r="Y140" s="1">
        <v>0</v>
      </c>
      <c r="Z140" s="1">
        <v>0</v>
      </c>
      <c r="AA140" s="1">
        <v>1</v>
      </c>
      <c r="AB140" s="1">
        <v>0</v>
      </c>
      <c r="AC140" s="1">
        <v>0</v>
      </c>
      <c r="AD140" s="1">
        <v>0</v>
      </c>
      <c r="AE140" s="1">
        <v>0</v>
      </c>
      <c r="AF140" s="1">
        <v>0</v>
      </c>
      <c r="AG140" s="1">
        <v>0</v>
      </c>
      <c r="AH140" s="1">
        <v>0</v>
      </c>
      <c r="AI140" s="1">
        <v>0</v>
      </c>
      <c r="AJ140" s="1">
        <v>0</v>
      </c>
      <c r="AK140" s="1">
        <v>0</v>
      </c>
      <c r="AL140" s="1">
        <v>0</v>
      </c>
      <c r="AM140" s="1">
        <v>0</v>
      </c>
      <c r="AN140" s="1">
        <v>0</v>
      </c>
      <c r="AO140" s="1">
        <v>1</v>
      </c>
      <c r="AP140" s="1">
        <v>0</v>
      </c>
      <c r="AQ140" s="1">
        <v>3</v>
      </c>
      <c r="AR140" s="1">
        <v>0</v>
      </c>
      <c r="AS140" s="1">
        <v>0</v>
      </c>
      <c r="AT140" s="1">
        <v>0</v>
      </c>
      <c r="AU140" s="1">
        <v>0</v>
      </c>
      <c r="AV140" s="1">
        <v>0</v>
      </c>
      <c r="AW140" s="1">
        <v>1</v>
      </c>
      <c r="AX140" s="1">
        <v>0</v>
      </c>
      <c r="AY140" s="1">
        <v>0</v>
      </c>
      <c r="AZ140" s="1">
        <v>0</v>
      </c>
      <c r="BA140" s="1">
        <v>0</v>
      </c>
      <c r="BB140" s="1">
        <v>0</v>
      </c>
      <c r="BC140" s="1">
        <v>0</v>
      </c>
      <c r="BD140" s="1">
        <v>0</v>
      </c>
      <c r="BE140" s="1">
        <v>3</v>
      </c>
      <c r="BF140" s="1">
        <v>0</v>
      </c>
      <c r="BG140" s="1">
        <v>0</v>
      </c>
      <c r="BH140" s="1">
        <v>1</v>
      </c>
      <c r="BI140" s="1">
        <v>0</v>
      </c>
      <c r="BJ140" s="1">
        <v>0</v>
      </c>
      <c r="BK140" s="1">
        <v>6</v>
      </c>
      <c r="BL140" s="1">
        <v>4</v>
      </c>
      <c r="BM140" s="1">
        <v>0</v>
      </c>
      <c r="BN140" s="1">
        <v>0</v>
      </c>
      <c r="BO140" s="1">
        <v>0</v>
      </c>
    </row>
    <row r="141" hidden="1" spans="1:67">
      <c r="A141" s="18">
        <v>43724</v>
      </c>
      <c r="B141" s="2">
        <v>43506</v>
      </c>
      <c r="C141" s="18">
        <v>43751</v>
      </c>
      <c r="D141" s="18">
        <f ca="1" t="shared" ref="D141:I141" si="137">C141</f>
        <v>43751</v>
      </c>
      <c r="E141" s="18">
        <v>43752</v>
      </c>
      <c r="F141" s="18">
        <f ca="1" t="shared" si="137"/>
        <v>43752</v>
      </c>
      <c r="G141" s="18">
        <v>43765</v>
      </c>
      <c r="H141" s="18">
        <v>43765</v>
      </c>
      <c r="I141" s="18">
        <f ca="1" t="shared" si="137"/>
        <v>43765</v>
      </c>
      <c r="J141" s="18">
        <f ca="1" t="shared" si="131"/>
        <v>43765</v>
      </c>
      <c r="L141" s="1">
        <v>32.2</v>
      </c>
      <c r="M141" s="1">
        <v>154</v>
      </c>
      <c r="N141" s="1">
        <v>36.5</v>
      </c>
      <c r="O141" s="1">
        <v>4758.1</v>
      </c>
      <c r="P141" s="1">
        <v>0</v>
      </c>
      <c r="Q141" s="1">
        <v>0</v>
      </c>
      <c r="R141" s="1">
        <v>0</v>
      </c>
      <c r="S141" s="1">
        <v>0</v>
      </c>
      <c r="T141" s="1">
        <v>0</v>
      </c>
      <c r="U141" s="1" t="s">
        <v>3329</v>
      </c>
      <c r="V141" s="1" t="s">
        <v>3329</v>
      </c>
      <c r="W141" s="1">
        <v>1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0</v>
      </c>
      <c r="AD141" s="1">
        <v>0</v>
      </c>
      <c r="AE141" s="1">
        <v>0</v>
      </c>
      <c r="AF141" s="1">
        <v>0</v>
      </c>
      <c r="AG141" s="1">
        <v>0</v>
      </c>
      <c r="AH141" s="1">
        <v>0</v>
      </c>
      <c r="AI141" s="1">
        <v>0</v>
      </c>
      <c r="AJ141" s="1">
        <v>0</v>
      </c>
      <c r="AK141" s="1">
        <v>0</v>
      </c>
      <c r="AL141" s="1">
        <v>0</v>
      </c>
      <c r="AM141" s="1">
        <v>0</v>
      </c>
      <c r="AN141" s="1">
        <v>0</v>
      </c>
      <c r="AO141" s="1">
        <v>1</v>
      </c>
      <c r="AP141" s="1">
        <v>0</v>
      </c>
      <c r="AQ141" s="1">
        <v>3</v>
      </c>
      <c r="AR141" s="1">
        <v>0</v>
      </c>
      <c r="AS141" s="1">
        <v>0</v>
      </c>
      <c r="AT141" s="1">
        <v>0</v>
      </c>
      <c r="AU141" s="1">
        <v>0</v>
      </c>
      <c r="AV141" s="1">
        <v>0</v>
      </c>
      <c r="AW141" s="1">
        <v>1</v>
      </c>
      <c r="AX141" s="1">
        <v>0</v>
      </c>
      <c r="AY141" s="1">
        <v>0</v>
      </c>
      <c r="AZ141" s="1">
        <v>0</v>
      </c>
      <c r="BA141" s="1">
        <v>0</v>
      </c>
      <c r="BB141" s="1">
        <v>0</v>
      </c>
      <c r="BC141" s="1">
        <v>0</v>
      </c>
      <c r="BD141" s="1">
        <v>0</v>
      </c>
      <c r="BE141" s="1">
        <v>3</v>
      </c>
      <c r="BF141" s="1">
        <v>0</v>
      </c>
      <c r="BG141" s="1">
        <v>0</v>
      </c>
      <c r="BH141" s="1">
        <v>0</v>
      </c>
      <c r="BI141" s="1">
        <v>0</v>
      </c>
      <c r="BJ141" s="1">
        <v>0</v>
      </c>
      <c r="BK141" s="1">
        <v>0</v>
      </c>
      <c r="BL141" s="1">
        <v>0</v>
      </c>
      <c r="BM141" s="1">
        <v>0</v>
      </c>
      <c r="BN141" s="1">
        <v>0</v>
      </c>
      <c r="BO141" s="1">
        <v>0</v>
      </c>
    </row>
    <row r="142" hidden="1" spans="1:67">
      <c r="A142" s="18">
        <v>43725</v>
      </c>
      <c r="B142" s="2">
        <v>43506</v>
      </c>
      <c r="C142" s="18">
        <v>43751</v>
      </c>
      <c r="D142" s="18">
        <f ca="1" t="shared" ref="D142:I142" si="138">C142</f>
        <v>43751</v>
      </c>
      <c r="E142" s="18">
        <v>43752</v>
      </c>
      <c r="F142" s="18">
        <f ca="1" t="shared" si="138"/>
        <v>43752</v>
      </c>
      <c r="G142" s="18">
        <v>43751</v>
      </c>
      <c r="H142" s="18">
        <v>43765</v>
      </c>
      <c r="I142" s="18">
        <f ca="1" t="shared" si="138"/>
        <v>43765</v>
      </c>
      <c r="J142" s="18">
        <f ca="1" t="shared" si="131"/>
        <v>43765</v>
      </c>
      <c r="L142" s="1">
        <v>31</v>
      </c>
      <c r="M142" s="1" t="s">
        <v>3409</v>
      </c>
      <c r="N142" s="1">
        <v>37.2</v>
      </c>
      <c r="O142" s="1">
        <v>4789.1</v>
      </c>
      <c r="P142" s="1">
        <v>0</v>
      </c>
      <c r="Q142" s="1">
        <v>0</v>
      </c>
      <c r="R142" s="1">
        <v>0</v>
      </c>
      <c r="S142" s="1">
        <v>0</v>
      </c>
      <c r="T142" s="1">
        <v>0</v>
      </c>
      <c r="U142" s="1">
        <v>0</v>
      </c>
      <c r="V142" s="1" t="s">
        <v>3329</v>
      </c>
      <c r="W142" s="1">
        <v>0</v>
      </c>
      <c r="X142" s="1">
        <v>1</v>
      </c>
      <c r="Y142" s="1">
        <v>0</v>
      </c>
      <c r="Z142" s="1">
        <v>1</v>
      </c>
      <c r="AA142" s="1">
        <v>0</v>
      </c>
      <c r="AB142" s="1">
        <v>0</v>
      </c>
      <c r="AC142" s="1">
        <v>0</v>
      </c>
      <c r="AD142" s="1">
        <v>0</v>
      </c>
      <c r="AE142" s="1">
        <v>0</v>
      </c>
      <c r="AF142" s="1">
        <v>0</v>
      </c>
      <c r="AG142" s="1">
        <v>0</v>
      </c>
      <c r="AH142" s="1">
        <v>0</v>
      </c>
      <c r="AI142" s="1">
        <v>0</v>
      </c>
      <c r="AJ142" s="1">
        <v>0</v>
      </c>
      <c r="AK142" s="1">
        <v>0</v>
      </c>
      <c r="AL142" s="1">
        <v>0</v>
      </c>
      <c r="AM142" s="1">
        <v>0</v>
      </c>
      <c r="AN142" s="1">
        <v>0</v>
      </c>
      <c r="AO142" s="1">
        <v>1</v>
      </c>
      <c r="AP142" s="1">
        <v>0</v>
      </c>
      <c r="AQ142" s="1">
        <v>3</v>
      </c>
      <c r="AR142" s="1">
        <v>0</v>
      </c>
      <c r="AS142" s="1">
        <v>0</v>
      </c>
      <c r="AT142" s="1">
        <v>0</v>
      </c>
      <c r="AU142" s="1">
        <v>0</v>
      </c>
      <c r="AV142" s="1">
        <v>0</v>
      </c>
      <c r="AW142" s="1">
        <v>1</v>
      </c>
      <c r="AX142" s="1">
        <v>0</v>
      </c>
      <c r="AY142" s="1">
        <v>0</v>
      </c>
      <c r="AZ142" s="1">
        <v>0</v>
      </c>
      <c r="BA142" s="1">
        <v>0</v>
      </c>
      <c r="BB142" s="1">
        <v>0</v>
      </c>
      <c r="BC142" s="1">
        <v>0</v>
      </c>
      <c r="BD142" s="1">
        <v>0</v>
      </c>
      <c r="BE142" s="1">
        <v>3</v>
      </c>
      <c r="BF142" s="1">
        <v>0</v>
      </c>
      <c r="BG142" s="1">
        <v>0</v>
      </c>
      <c r="BH142" s="1">
        <v>0</v>
      </c>
      <c r="BI142" s="1">
        <v>0</v>
      </c>
      <c r="BJ142" s="1">
        <v>0</v>
      </c>
      <c r="BK142" s="1">
        <v>0</v>
      </c>
      <c r="BL142" s="1">
        <v>0</v>
      </c>
      <c r="BM142" s="1">
        <v>0</v>
      </c>
      <c r="BN142" s="1">
        <v>0</v>
      </c>
      <c r="BO142" s="1">
        <v>0</v>
      </c>
    </row>
    <row r="143" hidden="1" spans="1:67">
      <c r="A143" s="18">
        <v>43725</v>
      </c>
      <c r="B143" s="2">
        <v>43506</v>
      </c>
      <c r="C143" s="18">
        <v>43751</v>
      </c>
      <c r="D143" s="18">
        <f ca="1" t="shared" ref="D143:I143" si="139">C143</f>
        <v>43751</v>
      </c>
      <c r="E143" s="18">
        <v>43752</v>
      </c>
      <c r="F143" s="18">
        <f ca="1" t="shared" si="139"/>
        <v>43752</v>
      </c>
      <c r="G143" s="18">
        <v>43765</v>
      </c>
      <c r="H143" s="18">
        <v>43765</v>
      </c>
      <c r="I143" s="18">
        <f ca="1" t="shared" si="139"/>
        <v>43765</v>
      </c>
      <c r="J143" s="18">
        <f ca="1" t="shared" si="131"/>
        <v>43765</v>
      </c>
      <c r="L143" s="1">
        <v>31.5</v>
      </c>
      <c r="M143" s="1">
        <v>155</v>
      </c>
      <c r="N143" s="1">
        <v>36.2</v>
      </c>
      <c r="O143" s="1">
        <v>4820.6</v>
      </c>
      <c r="P143" s="1">
        <v>0</v>
      </c>
      <c r="Q143" s="1">
        <v>0</v>
      </c>
      <c r="R143" s="1">
        <v>0</v>
      </c>
      <c r="S143" s="1">
        <v>0</v>
      </c>
      <c r="T143" s="1">
        <v>0</v>
      </c>
      <c r="U143" s="1" t="s">
        <v>3329</v>
      </c>
      <c r="V143" s="1" t="s">
        <v>3329</v>
      </c>
      <c r="W143" s="1">
        <v>1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0</v>
      </c>
      <c r="AD143" s="1">
        <v>0</v>
      </c>
      <c r="AE143" s="1">
        <v>0</v>
      </c>
      <c r="AF143" s="1">
        <v>0</v>
      </c>
      <c r="AG143" s="1">
        <v>0</v>
      </c>
      <c r="AH143" s="1">
        <v>0</v>
      </c>
      <c r="AI143" s="1">
        <v>0</v>
      </c>
      <c r="AJ143" s="1">
        <v>0</v>
      </c>
      <c r="AK143" s="1">
        <v>0</v>
      </c>
      <c r="AL143" s="1">
        <v>0</v>
      </c>
      <c r="AM143" s="1">
        <v>0</v>
      </c>
      <c r="AN143" s="1">
        <v>0</v>
      </c>
      <c r="AO143" s="1">
        <v>1</v>
      </c>
      <c r="AP143" s="1">
        <v>0</v>
      </c>
      <c r="AQ143" s="1">
        <v>3</v>
      </c>
      <c r="AR143" s="1">
        <v>0</v>
      </c>
      <c r="AS143" s="1">
        <v>0</v>
      </c>
      <c r="AT143" s="1">
        <v>0</v>
      </c>
      <c r="AU143" s="1">
        <v>0</v>
      </c>
      <c r="AV143" s="1">
        <v>1</v>
      </c>
      <c r="AW143" s="1">
        <v>1</v>
      </c>
      <c r="AX143" s="1">
        <v>0</v>
      </c>
      <c r="AY143" s="1">
        <v>0</v>
      </c>
      <c r="AZ143" s="1">
        <v>0</v>
      </c>
      <c r="BA143" s="1">
        <v>0</v>
      </c>
      <c r="BB143" s="1">
        <v>0</v>
      </c>
      <c r="BC143" s="1">
        <v>0</v>
      </c>
      <c r="BD143" s="1">
        <v>0</v>
      </c>
      <c r="BE143" s="1">
        <v>3</v>
      </c>
      <c r="BF143" s="1">
        <v>0</v>
      </c>
      <c r="BG143" s="1">
        <v>0</v>
      </c>
      <c r="BH143" s="1">
        <v>0</v>
      </c>
      <c r="BI143" s="1">
        <v>0</v>
      </c>
      <c r="BJ143" s="1">
        <v>0</v>
      </c>
      <c r="BK143" s="1">
        <v>0</v>
      </c>
      <c r="BL143" s="1">
        <v>0</v>
      </c>
      <c r="BM143" s="1">
        <v>0</v>
      </c>
      <c r="BN143" s="1">
        <v>0</v>
      </c>
      <c r="BO143" s="1">
        <v>0</v>
      </c>
    </row>
    <row r="144" hidden="1" spans="1:67">
      <c r="A144" s="18">
        <v>43725</v>
      </c>
      <c r="B144" s="2">
        <v>43506</v>
      </c>
      <c r="C144" s="18">
        <v>43751</v>
      </c>
      <c r="D144" s="18">
        <f ca="1" t="shared" ref="D144:I144" si="140">C144</f>
        <v>43751</v>
      </c>
      <c r="E144" s="18">
        <v>43752</v>
      </c>
      <c r="F144" s="18">
        <f ca="1" t="shared" si="140"/>
        <v>43752</v>
      </c>
      <c r="G144" s="18">
        <v>43751</v>
      </c>
      <c r="H144" s="18">
        <v>43765</v>
      </c>
      <c r="I144" s="18">
        <f ca="1" t="shared" si="140"/>
        <v>43765</v>
      </c>
      <c r="J144" s="18">
        <f ca="1" t="shared" si="131"/>
        <v>43765</v>
      </c>
      <c r="L144" s="1">
        <v>40</v>
      </c>
      <c r="M144" s="1" t="s">
        <v>3410</v>
      </c>
      <c r="N144" s="1">
        <v>39.4</v>
      </c>
      <c r="O144" s="1">
        <v>4860.6</v>
      </c>
      <c r="P144" s="1">
        <v>0</v>
      </c>
      <c r="Q144" s="1">
        <v>0</v>
      </c>
      <c r="R144" s="1">
        <v>0</v>
      </c>
      <c r="S144" s="1">
        <v>0</v>
      </c>
      <c r="T144" s="1">
        <v>0</v>
      </c>
      <c r="U144" s="1">
        <v>0</v>
      </c>
      <c r="V144" s="1" t="s">
        <v>3329</v>
      </c>
      <c r="W144" s="1">
        <v>0</v>
      </c>
      <c r="X144" s="1">
        <v>1</v>
      </c>
      <c r="Y144" s="1">
        <v>0</v>
      </c>
      <c r="Z144" s="1">
        <v>0</v>
      </c>
      <c r="AA144" s="1">
        <v>1</v>
      </c>
      <c r="AB144" s="1">
        <v>0</v>
      </c>
      <c r="AC144" s="1">
        <v>0</v>
      </c>
      <c r="AD144" s="1">
        <v>0</v>
      </c>
      <c r="AE144" s="1">
        <v>0</v>
      </c>
      <c r="AF144" s="1">
        <v>0</v>
      </c>
      <c r="AG144" s="1">
        <v>0</v>
      </c>
      <c r="AH144" s="1">
        <v>0</v>
      </c>
      <c r="AI144" s="1">
        <v>0</v>
      </c>
      <c r="AJ144" s="1">
        <v>1</v>
      </c>
      <c r="AK144" s="1">
        <v>0</v>
      </c>
      <c r="AL144" s="1">
        <v>0</v>
      </c>
      <c r="AM144" s="1">
        <v>0</v>
      </c>
      <c r="AN144" s="1">
        <v>0</v>
      </c>
      <c r="AO144" s="1">
        <v>1</v>
      </c>
      <c r="AP144" s="1">
        <v>0</v>
      </c>
      <c r="AQ144" s="1">
        <v>3</v>
      </c>
      <c r="AR144" s="1">
        <v>0</v>
      </c>
      <c r="AS144" s="1">
        <v>0</v>
      </c>
      <c r="AT144" s="1">
        <v>0</v>
      </c>
      <c r="AU144" s="1">
        <v>0</v>
      </c>
      <c r="AV144" s="1">
        <v>0</v>
      </c>
      <c r="AW144" s="1">
        <v>1</v>
      </c>
      <c r="AX144" s="1">
        <v>0</v>
      </c>
      <c r="AY144" s="1">
        <v>0</v>
      </c>
      <c r="AZ144" s="1">
        <v>0</v>
      </c>
      <c r="BA144" s="1">
        <v>0</v>
      </c>
      <c r="BB144" s="1">
        <v>0</v>
      </c>
      <c r="BC144" s="1">
        <v>0</v>
      </c>
      <c r="BD144" s="1">
        <v>0</v>
      </c>
      <c r="BE144" s="1">
        <v>3</v>
      </c>
      <c r="BF144" s="1">
        <v>0</v>
      </c>
      <c r="BG144" s="1">
        <v>0</v>
      </c>
      <c r="BH144" s="1">
        <v>0</v>
      </c>
      <c r="BI144" s="1">
        <v>2</v>
      </c>
      <c r="BJ144" s="1">
        <v>0</v>
      </c>
      <c r="BK144" s="1">
        <v>7</v>
      </c>
      <c r="BL144" s="1">
        <v>4</v>
      </c>
      <c r="BM144" s="1">
        <v>0</v>
      </c>
      <c r="BN144" s="1">
        <v>0</v>
      </c>
      <c r="BO144" s="1">
        <v>0</v>
      </c>
    </row>
    <row r="145" hidden="1" spans="1:67">
      <c r="A145" s="18">
        <v>43725</v>
      </c>
      <c r="B145" s="2">
        <v>43506</v>
      </c>
      <c r="C145" s="18">
        <v>43751</v>
      </c>
      <c r="D145" s="18">
        <f ca="1" t="shared" ref="D145:I145" si="141">C145</f>
        <v>43751</v>
      </c>
      <c r="E145" s="18">
        <v>43752</v>
      </c>
      <c r="F145" s="18">
        <f ca="1" t="shared" si="141"/>
        <v>43752</v>
      </c>
      <c r="G145" s="18">
        <v>43765</v>
      </c>
      <c r="H145" s="18">
        <v>43765</v>
      </c>
      <c r="I145" s="18">
        <f ca="1" t="shared" si="141"/>
        <v>43765</v>
      </c>
      <c r="J145" s="18">
        <f ca="1" t="shared" si="131"/>
        <v>43765</v>
      </c>
      <c r="L145" s="1">
        <v>39.7</v>
      </c>
      <c r="M145" s="1">
        <v>156</v>
      </c>
      <c r="N145" s="1">
        <v>41.2</v>
      </c>
      <c r="O145" s="1">
        <v>4900.3</v>
      </c>
      <c r="P145" s="1">
        <v>0</v>
      </c>
      <c r="Q145" s="1">
        <v>0</v>
      </c>
      <c r="R145" s="1">
        <v>0</v>
      </c>
      <c r="S145" s="1">
        <v>0</v>
      </c>
      <c r="T145" s="1">
        <v>0</v>
      </c>
      <c r="U145" s="1" t="s">
        <v>3329</v>
      </c>
      <c r="V145" s="1" t="s">
        <v>3329</v>
      </c>
      <c r="W145" s="1">
        <v>1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0</v>
      </c>
      <c r="AD145" s="1">
        <v>0</v>
      </c>
      <c r="AE145" s="1">
        <v>0</v>
      </c>
      <c r="AF145" s="1">
        <v>0</v>
      </c>
      <c r="AG145" s="1">
        <v>0</v>
      </c>
      <c r="AH145" s="1">
        <v>0</v>
      </c>
      <c r="AI145" s="1">
        <v>0</v>
      </c>
      <c r="AJ145" s="1">
        <v>0</v>
      </c>
      <c r="AK145" s="1">
        <v>0</v>
      </c>
      <c r="AL145" s="1">
        <v>0</v>
      </c>
      <c r="AM145" s="1">
        <v>0</v>
      </c>
      <c r="AN145" s="1">
        <v>0</v>
      </c>
      <c r="AO145" s="1">
        <v>1</v>
      </c>
      <c r="AP145" s="1">
        <v>0</v>
      </c>
      <c r="AQ145" s="1">
        <v>3</v>
      </c>
      <c r="AR145" s="1">
        <v>0</v>
      </c>
      <c r="AS145" s="1">
        <v>0</v>
      </c>
      <c r="AT145" s="1">
        <v>0</v>
      </c>
      <c r="AU145" s="1">
        <v>0</v>
      </c>
      <c r="AV145" s="1">
        <v>0</v>
      </c>
      <c r="AW145" s="1">
        <v>1</v>
      </c>
      <c r="AX145" s="1">
        <v>0</v>
      </c>
      <c r="AY145" s="1">
        <v>0</v>
      </c>
      <c r="AZ145" s="1">
        <v>0</v>
      </c>
      <c r="BA145" s="1">
        <v>0</v>
      </c>
      <c r="BB145" s="1">
        <v>0</v>
      </c>
      <c r="BC145" s="1">
        <v>0</v>
      </c>
      <c r="BD145" s="1">
        <v>0</v>
      </c>
      <c r="BE145" s="1">
        <v>3</v>
      </c>
      <c r="BF145" s="1">
        <v>0</v>
      </c>
      <c r="BG145" s="1">
        <v>0</v>
      </c>
      <c r="BH145" s="1">
        <v>0</v>
      </c>
      <c r="BI145" s="1">
        <v>0</v>
      </c>
      <c r="BJ145" s="1">
        <v>0</v>
      </c>
      <c r="BK145" s="1">
        <v>0</v>
      </c>
      <c r="BL145" s="1">
        <v>0</v>
      </c>
      <c r="BM145" s="1">
        <v>0</v>
      </c>
      <c r="BN145" s="1">
        <v>0</v>
      </c>
      <c r="BO145" s="1">
        <v>0</v>
      </c>
    </row>
    <row r="146" hidden="1" spans="1:67">
      <c r="A146" s="18">
        <v>43725</v>
      </c>
      <c r="B146" s="2">
        <v>43506</v>
      </c>
      <c r="C146" s="18">
        <v>43751</v>
      </c>
      <c r="D146" s="18">
        <f ca="1" t="shared" ref="D146:I146" si="142">C146</f>
        <v>43751</v>
      </c>
      <c r="E146" s="18">
        <v>43752</v>
      </c>
      <c r="F146" s="18">
        <f ca="1" t="shared" si="142"/>
        <v>43752</v>
      </c>
      <c r="G146" s="18">
        <v>43751</v>
      </c>
      <c r="H146" s="18">
        <v>43765</v>
      </c>
      <c r="I146" s="18">
        <f ca="1" t="shared" si="142"/>
        <v>43765</v>
      </c>
      <c r="J146" s="18">
        <f ca="1" t="shared" si="131"/>
        <v>43765</v>
      </c>
      <c r="L146" s="1">
        <v>37.2</v>
      </c>
      <c r="M146" s="1" t="s">
        <v>3411</v>
      </c>
      <c r="N146" s="1">
        <v>39.3</v>
      </c>
      <c r="O146" s="1">
        <v>4937.5</v>
      </c>
      <c r="P146" s="1">
        <v>0</v>
      </c>
      <c r="Q146" s="1">
        <v>0</v>
      </c>
      <c r="R146" s="1">
        <v>0</v>
      </c>
      <c r="S146" s="1">
        <v>0</v>
      </c>
      <c r="T146" s="1">
        <v>0</v>
      </c>
      <c r="U146" s="1">
        <v>0</v>
      </c>
      <c r="V146" s="1" t="s">
        <v>3329</v>
      </c>
      <c r="W146" s="1">
        <v>0</v>
      </c>
      <c r="X146" s="1">
        <v>1</v>
      </c>
      <c r="Y146" s="1">
        <v>0</v>
      </c>
      <c r="Z146" s="1">
        <v>0</v>
      </c>
      <c r="AA146" s="1">
        <v>1</v>
      </c>
      <c r="AB146" s="1">
        <v>0</v>
      </c>
      <c r="AC146" s="1">
        <v>0</v>
      </c>
      <c r="AD146" s="1">
        <v>0</v>
      </c>
      <c r="AE146" s="1">
        <v>0</v>
      </c>
      <c r="AF146" s="1">
        <v>0</v>
      </c>
      <c r="AG146" s="1">
        <v>0</v>
      </c>
      <c r="AH146" s="1">
        <v>0</v>
      </c>
      <c r="AI146" s="1">
        <v>0</v>
      </c>
      <c r="AJ146" s="1">
        <v>0</v>
      </c>
      <c r="AK146" s="1">
        <v>0</v>
      </c>
      <c r="AL146" s="1">
        <v>0</v>
      </c>
      <c r="AM146" s="1">
        <v>0</v>
      </c>
      <c r="AN146" s="1">
        <v>0</v>
      </c>
      <c r="AO146" s="1">
        <v>1</v>
      </c>
      <c r="AP146" s="1">
        <v>0</v>
      </c>
      <c r="AQ146" s="1">
        <v>3</v>
      </c>
      <c r="AR146" s="1">
        <v>0</v>
      </c>
      <c r="AS146" s="1">
        <v>0</v>
      </c>
      <c r="AT146" s="1">
        <v>0</v>
      </c>
      <c r="AU146" s="1">
        <v>0</v>
      </c>
      <c r="AV146" s="1">
        <v>0</v>
      </c>
      <c r="AW146" s="1">
        <v>1</v>
      </c>
      <c r="AX146" s="1">
        <v>0</v>
      </c>
      <c r="AY146" s="1">
        <v>0</v>
      </c>
      <c r="AZ146" s="1">
        <v>0</v>
      </c>
      <c r="BA146" s="1">
        <v>0</v>
      </c>
      <c r="BB146" s="1">
        <v>0</v>
      </c>
      <c r="BC146" s="1">
        <v>0</v>
      </c>
      <c r="BD146" s="1">
        <v>0</v>
      </c>
      <c r="BE146" s="1">
        <v>3</v>
      </c>
      <c r="BF146" s="1">
        <v>0</v>
      </c>
      <c r="BG146" s="1">
        <v>0</v>
      </c>
      <c r="BH146" s="1">
        <v>0</v>
      </c>
      <c r="BI146" s="1">
        <v>2</v>
      </c>
      <c r="BJ146" s="1">
        <v>0</v>
      </c>
      <c r="BK146" s="1">
        <v>3</v>
      </c>
      <c r="BL146" s="1">
        <v>4</v>
      </c>
      <c r="BM146" s="1">
        <v>0</v>
      </c>
      <c r="BN146" s="1" t="s">
        <v>3340</v>
      </c>
      <c r="BO146" s="1">
        <v>0</v>
      </c>
    </row>
    <row r="147" hidden="1" spans="1:67">
      <c r="A147" s="18">
        <v>43725</v>
      </c>
      <c r="B147" s="2">
        <v>43506</v>
      </c>
      <c r="C147" s="18">
        <v>43751</v>
      </c>
      <c r="D147" s="18">
        <f ca="1" t="shared" ref="D147:I147" si="143">C147</f>
        <v>43751</v>
      </c>
      <c r="E147" s="18">
        <v>43752</v>
      </c>
      <c r="F147" s="18">
        <f ca="1" t="shared" si="143"/>
        <v>43752</v>
      </c>
      <c r="G147" s="18">
        <v>43765</v>
      </c>
      <c r="H147" s="18">
        <v>43765</v>
      </c>
      <c r="I147" s="18">
        <f ca="1" t="shared" si="143"/>
        <v>43765</v>
      </c>
      <c r="J147" s="18">
        <f ca="1" t="shared" si="131"/>
        <v>43765</v>
      </c>
      <c r="L147" s="1">
        <v>38</v>
      </c>
      <c r="M147" s="1">
        <v>157</v>
      </c>
      <c r="N147" s="1">
        <v>40.6</v>
      </c>
      <c r="O147" s="1">
        <v>4975.5</v>
      </c>
      <c r="P147" s="1">
        <v>0</v>
      </c>
      <c r="Q147" s="1">
        <v>0</v>
      </c>
      <c r="R147" s="1">
        <v>0</v>
      </c>
      <c r="S147" s="1">
        <v>0</v>
      </c>
      <c r="T147" s="1">
        <v>0</v>
      </c>
      <c r="U147" s="1" t="s">
        <v>3329</v>
      </c>
      <c r="V147" s="1" t="s">
        <v>3329</v>
      </c>
      <c r="W147" s="1">
        <v>1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0</v>
      </c>
      <c r="AD147" s="1">
        <v>0</v>
      </c>
      <c r="AE147" s="1">
        <v>0</v>
      </c>
      <c r="AF147" s="1">
        <v>0</v>
      </c>
      <c r="AG147" s="1">
        <v>0</v>
      </c>
      <c r="AH147" s="1">
        <v>0</v>
      </c>
      <c r="AI147" s="1">
        <v>0</v>
      </c>
      <c r="AJ147" s="1">
        <v>0</v>
      </c>
      <c r="AK147" s="1">
        <v>0</v>
      </c>
      <c r="AL147" s="1">
        <v>0</v>
      </c>
      <c r="AM147" s="1">
        <v>0</v>
      </c>
      <c r="AN147" s="1">
        <v>0</v>
      </c>
      <c r="AO147" s="1">
        <v>1</v>
      </c>
      <c r="AP147" s="1">
        <v>0</v>
      </c>
      <c r="AQ147" s="1">
        <v>3</v>
      </c>
      <c r="AR147" s="1">
        <v>0</v>
      </c>
      <c r="AS147" s="1">
        <v>0</v>
      </c>
      <c r="AT147" s="1">
        <v>0</v>
      </c>
      <c r="AU147" s="1">
        <v>0</v>
      </c>
      <c r="AV147" s="1">
        <v>0</v>
      </c>
      <c r="AW147" s="1">
        <v>1</v>
      </c>
      <c r="AX147" s="1">
        <v>0</v>
      </c>
      <c r="AY147" s="1">
        <v>0</v>
      </c>
      <c r="AZ147" s="1">
        <v>0</v>
      </c>
      <c r="BA147" s="1">
        <v>0</v>
      </c>
      <c r="BB147" s="1">
        <v>0</v>
      </c>
      <c r="BC147" s="1">
        <v>0</v>
      </c>
      <c r="BD147" s="1">
        <v>0</v>
      </c>
      <c r="BE147" s="1">
        <v>3</v>
      </c>
      <c r="BF147" s="1">
        <v>0</v>
      </c>
      <c r="BG147" s="1">
        <v>0</v>
      </c>
      <c r="BH147" s="1">
        <v>0</v>
      </c>
      <c r="BI147" s="1">
        <v>0</v>
      </c>
      <c r="BJ147" s="1">
        <v>0</v>
      </c>
      <c r="BK147" s="1">
        <v>0</v>
      </c>
      <c r="BL147" s="1">
        <v>0</v>
      </c>
      <c r="BM147" s="1">
        <v>0</v>
      </c>
      <c r="BN147" s="1">
        <v>0</v>
      </c>
      <c r="BO147" s="1">
        <v>0</v>
      </c>
    </row>
    <row r="148" hidden="1" spans="1:67">
      <c r="A148" s="18">
        <v>43725</v>
      </c>
      <c r="B148" s="2">
        <v>43506</v>
      </c>
      <c r="C148" s="18">
        <v>43751</v>
      </c>
      <c r="D148" s="18">
        <f ca="1" t="shared" ref="D148:I148" si="144">C148</f>
        <v>43751</v>
      </c>
      <c r="E148" s="18">
        <v>43752</v>
      </c>
      <c r="F148" s="18">
        <f ca="1" t="shared" si="144"/>
        <v>43752</v>
      </c>
      <c r="G148" s="18">
        <v>43751</v>
      </c>
      <c r="H148" s="18">
        <v>43765</v>
      </c>
      <c r="I148" s="18">
        <f ca="1" t="shared" si="144"/>
        <v>43765</v>
      </c>
      <c r="J148" s="18">
        <f ca="1" t="shared" si="131"/>
        <v>43765</v>
      </c>
      <c r="L148" s="1">
        <v>41</v>
      </c>
      <c r="M148" s="1" t="s">
        <v>3412</v>
      </c>
      <c r="N148" s="1">
        <v>38.5</v>
      </c>
      <c r="O148" s="1">
        <v>5016.5</v>
      </c>
      <c r="P148" s="1">
        <v>0</v>
      </c>
      <c r="Q148" s="1">
        <v>0</v>
      </c>
      <c r="R148" s="1">
        <v>0</v>
      </c>
      <c r="S148" s="1">
        <v>0</v>
      </c>
      <c r="T148" s="1">
        <v>0</v>
      </c>
      <c r="U148" s="1">
        <v>0</v>
      </c>
      <c r="V148" s="1" t="s">
        <v>3324</v>
      </c>
      <c r="W148" s="1">
        <v>0</v>
      </c>
      <c r="X148" s="1">
        <v>2</v>
      </c>
      <c r="Y148" s="1">
        <v>0</v>
      </c>
      <c r="Z148" s="1">
        <v>0</v>
      </c>
      <c r="AA148" s="1">
        <v>0</v>
      </c>
      <c r="AB148" s="1">
        <v>1</v>
      </c>
      <c r="AC148" s="1">
        <v>0</v>
      </c>
      <c r="AD148" s="1">
        <v>0</v>
      </c>
      <c r="AE148" s="1">
        <v>0</v>
      </c>
      <c r="AF148" s="1">
        <v>0</v>
      </c>
      <c r="AG148" s="1">
        <v>0</v>
      </c>
      <c r="AH148" s="1">
        <v>0</v>
      </c>
      <c r="AI148" s="1">
        <v>0</v>
      </c>
      <c r="AJ148" s="1">
        <v>0</v>
      </c>
      <c r="AK148" s="1">
        <v>0</v>
      </c>
      <c r="AL148" s="1">
        <v>0</v>
      </c>
      <c r="AM148" s="1">
        <v>0</v>
      </c>
      <c r="AN148" s="1">
        <v>1</v>
      </c>
      <c r="AO148" s="1">
        <v>0</v>
      </c>
      <c r="AP148" s="1">
        <v>0</v>
      </c>
      <c r="AQ148" s="1">
        <v>6</v>
      </c>
      <c r="AR148" s="1">
        <v>6</v>
      </c>
      <c r="AS148" s="1">
        <v>0</v>
      </c>
      <c r="AT148" s="1">
        <v>0</v>
      </c>
      <c r="AU148" s="1">
        <v>6</v>
      </c>
      <c r="AV148" s="1">
        <v>2</v>
      </c>
      <c r="AW148" s="1">
        <v>0</v>
      </c>
      <c r="AX148" s="1">
        <v>0</v>
      </c>
      <c r="AY148" s="1">
        <v>0</v>
      </c>
      <c r="AZ148" s="1">
        <v>0</v>
      </c>
      <c r="BA148" s="1">
        <v>0</v>
      </c>
      <c r="BB148" s="1">
        <v>2</v>
      </c>
      <c r="BC148" s="1">
        <v>6</v>
      </c>
      <c r="BD148" s="1">
        <v>0</v>
      </c>
      <c r="BE148" s="1">
        <v>6</v>
      </c>
      <c r="BF148" s="1">
        <v>0</v>
      </c>
      <c r="BG148" s="1">
        <v>0</v>
      </c>
      <c r="BH148" s="1">
        <v>0</v>
      </c>
      <c r="BI148" s="1">
        <v>2</v>
      </c>
      <c r="BJ148" s="1">
        <v>0</v>
      </c>
      <c r="BK148" s="1">
        <v>3</v>
      </c>
      <c r="BL148" s="1">
        <v>4</v>
      </c>
      <c r="BM148" s="1">
        <v>1.2</v>
      </c>
      <c r="BN148" s="1">
        <v>0</v>
      </c>
      <c r="BO148" s="1">
        <v>0</v>
      </c>
    </row>
    <row r="149" hidden="1" spans="1:67">
      <c r="A149" s="18">
        <v>43725</v>
      </c>
      <c r="B149" s="2">
        <v>43506</v>
      </c>
      <c r="C149" s="18">
        <v>43751</v>
      </c>
      <c r="D149" s="18">
        <f ca="1" t="shared" ref="D149:I149" si="145">C149</f>
        <v>43751</v>
      </c>
      <c r="E149" s="18">
        <v>43752</v>
      </c>
      <c r="F149" s="18">
        <f ca="1" t="shared" si="145"/>
        <v>43752</v>
      </c>
      <c r="G149" s="18">
        <v>43765</v>
      </c>
      <c r="H149" s="18">
        <v>43765</v>
      </c>
      <c r="I149" s="18">
        <f ca="1" t="shared" si="145"/>
        <v>43765</v>
      </c>
      <c r="J149" s="18">
        <f ca="1" t="shared" si="131"/>
        <v>43765</v>
      </c>
      <c r="L149" s="1">
        <v>40.2</v>
      </c>
      <c r="M149" s="1">
        <v>158</v>
      </c>
      <c r="N149" s="1">
        <v>39.9</v>
      </c>
      <c r="O149" s="1">
        <v>5056.7</v>
      </c>
      <c r="P149" s="1">
        <v>0</v>
      </c>
      <c r="Q149" s="1">
        <v>0</v>
      </c>
      <c r="R149" s="1">
        <v>0</v>
      </c>
      <c r="S149" s="1">
        <v>0</v>
      </c>
      <c r="T149" s="1">
        <v>0</v>
      </c>
      <c r="U149" s="1" t="s">
        <v>3329</v>
      </c>
      <c r="V149" s="1" t="s">
        <v>3329</v>
      </c>
      <c r="W149" s="1">
        <v>1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0</v>
      </c>
      <c r="AD149" s="1">
        <v>0</v>
      </c>
      <c r="AE149" s="1">
        <v>0</v>
      </c>
      <c r="AF149" s="1">
        <v>0</v>
      </c>
      <c r="AG149" s="1">
        <v>0</v>
      </c>
      <c r="AH149" s="1">
        <v>0</v>
      </c>
      <c r="AI149" s="1">
        <v>0</v>
      </c>
      <c r="AJ149" s="1">
        <v>0</v>
      </c>
      <c r="AK149" s="1">
        <v>0</v>
      </c>
      <c r="AL149" s="1">
        <v>0</v>
      </c>
      <c r="AM149" s="1">
        <v>0</v>
      </c>
      <c r="AN149" s="1">
        <v>0</v>
      </c>
      <c r="AO149" s="1">
        <v>1</v>
      </c>
      <c r="AP149" s="1">
        <v>0</v>
      </c>
      <c r="AQ149" s="1">
        <v>3</v>
      </c>
      <c r="AR149" s="1">
        <v>0</v>
      </c>
      <c r="AS149" s="1">
        <v>0</v>
      </c>
      <c r="AT149" s="1">
        <v>0</v>
      </c>
      <c r="AU149" s="1">
        <v>0</v>
      </c>
      <c r="AV149" s="1">
        <v>0</v>
      </c>
      <c r="AW149" s="1">
        <v>1</v>
      </c>
      <c r="AX149" s="1">
        <v>0</v>
      </c>
      <c r="AY149" s="1">
        <v>0</v>
      </c>
      <c r="AZ149" s="1">
        <v>0</v>
      </c>
      <c r="BA149" s="1">
        <v>0</v>
      </c>
      <c r="BB149" s="1">
        <v>0</v>
      </c>
      <c r="BC149" s="1">
        <v>0</v>
      </c>
      <c r="BD149" s="1">
        <v>0</v>
      </c>
      <c r="BE149" s="1">
        <v>3</v>
      </c>
      <c r="BF149" s="1">
        <v>0</v>
      </c>
      <c r="BG149" s="1">
        <v>0</v>
      </c>
      <c r="BH149" s="1">
        <v>0</v>
      </c>
      <c r="BI149" s="1">
        <v>0</v>
      </c>
      <c r="BJ149" s="1">
        <v>0</v>
      </c>
      <c r="BK149" s="1">
        <v>0</v>
      </c>
      <c r="BL149" s="1">
        <v>0</v>
      </c>
      <c r="BM149" s="1">
        <v>0</v>
      </c>
      <c r="BN149" s="1">
        <v>0</v>
      </c>
      <c r="BO149" s="1">
        <v>0</v>
      </c>
    </row>
    <row r="150" hidden="1" spans="1:67">
      <c r="A150" s="18">
        <v>43726</v>
      </c>
      <c r="B150" s="2">
        <v>43506</v>
      </c>
      <c r="C150" s="18">
        <v>43751</v>
      </c>
      <c r="D150" s="18">
        <f ca="1" t="shared" ref="D150:I150" si="146">C150</f>
        <v>43751</v>
      </c>
      <c r="E150" s="18">
        <v>43752</v>
      </c>
      <c r="F150" s="18">
        <f ca="1" t="shared" si="146"/>
        <v>43752</v>
      </c>
      <c r="G150" s="18">
        <v>43751</v>
      </c>
      <c r="H150" s="18">
        <v>43765</v>
      </c>
      <c r="I150" s="18">
        <f ca="1" t="shared" si="146"/>
        <v>43765</v>
      </c>
      <c r="J150" s="18">
        <f ca="1" t="shared" si="131"/>
        <v>43765</v>
      </c>
      <c r="L150" s="1">
        <v>39</v>
      </c>
      <c r="M150" s="1" t="s">
        <v>3413</v>
      </c>
      <c r="N150" s="1">
        <v>44.2</v>
      </c>
      <c r="O150" s="1">
        <v>5095.7</v>
      </c>
      <c r="P150" s="1">
        <v>0</v>
      </c>
      <c r="Q150" s="1">
        <v>0</v>
      </c>
      <c r="R150" s="1">
        <v>0</v>
      </c>
      <c r="S150" s="1">
        <v>0</v>
      </c>
      <c r="T150" s="1">
        <v>0</v>
      </c>
      <c r="U150" s="1">
        <v>0</v>
      </c>
      <c r="V150" s="1" t="s">
        <v>3329</v>
      </c>
      <c r="W150" s="1">
        <v>0</v>
      </c>
      <c r="X150" s="1">
        <v>1</v>
      </c>
      <c r="Y150" s="1">
        <v>0</v>
      </c>
      <c r="Z150" s="1">
        <v>0</v>
      </c>
      <c r="AA150" s="1">
        <v>1</v>
      </c>
      <c r="AB150" s="1">
        <v>0</v>
      </c>
      <c r="AC150" s="1">
        <v>0</v>
      </c>
      <c r="AD150" s="1">
        <v>0</v>
      </c>
      <c r="AE150" s="1">
        <v>0</v>
      </c>
      <c r="AF150" s="1">
        <v>0</v>
      </c>
      <c r="AG150" s="1">
        <v>0</v>
      </c>
      <c r="AH150" s="1">
        <v>0</v>
      </c>
      <c r="AI150" s="1">
        <v>0</v>
      </c>
      <c r="AJ150" s="1">
        <v>1</v>
      </c>
      <c r="AK150" s="1">
        <v>0</v>
      </c>
      <c r="AL150" s="1">
        <v>0</v>
      </c>
      <c r="AM150" s="1">
        <v>0</v>
      </c>
      <c r="AN150" s="1">
        <v>0</v>
      </c>
      <c r="AO150" s="1">
        <v>1</v>
      </c>
      <c r="AP150" s="1">
        <v>0</v>
      </c>
      <c r="AQ150" s="1">
        <v>3</v>
      </c>
      <c r="AR150" s="1">
        <v>0</v>
      </c>
      <c r="AS150" s="1">
        <v>0</v>
      </c>
      <c r="AT150" s="1">
        <v>0</v>
      </c>
      <c r="AU150" s="1">
        <v>0</v>
      </c>
      <c r="AV150" s="1">
        <v>0</v>
      </c>
      <c r="AW150" s="1">
        <v>1</v>
      </c>
      <c r="AX150" s="1">
        <v>0</v>
      </c>
      <c r="AY150" s="1">
        <v>0</v>
      </c>
      <c r="AZ150" s="1">
        <v>0</v>
      </c>
      <c r="BA150" s="1">
        <v>0</v>
      </c>
      <c r="BB150" s="1">
        <v>0</v>
      </c>
      <c r="BC150" s="1">
        <v>0</v>
      </c>
      <c r="BD150" s="1">
        <v>0</v>
      </c>
      <c r="BE150" s="1">
        <v>3</v>
      </c>
      <c r="BF150" s="1">
        <v>0</v>
      </c>
      <c r="BG150" s="1">
        <v>0</v>
      </c>
      <c r="BH150" s="1">
        <v>0</v>
      </c>
      <c r="BI150" s="1">
        <v>2</v>
      </c>
      <c r="BJ150" s="1">
        <v>0</v>
      </c>
      <c r="BK150" s="1">
        <v>5</v>
      </c>
      <c r="BL150" s="1">
        <v>4</v>
      </c>
      <c r="BM150" s="1">
        <v>0</v>
      </c>
      <c r="BN150" s="1">
        <v>0</v>
      </c>
      <c r="BO150" s="1">
        <v>0</v>
      </c>
    </row>
    <row r="151" hidden="1" spans="1:67">
      <c r="A151" s="18">
        <v>43726</v>
      </c>
      <c r="B151" s="2">
        <v>43506</v>
      </c>
      <c r="C151" s="18">
        <v>43751</v>
      </c>
      <c r="D151" s="18">
        <f ca="1" t="shared" ref="D151:I151" si="147">C151</f>
        <v>43751</v>
      </c>
      <c r="E151" s="18">
        <v>43752</v>
      </c>
      <c r="F151" s="18">
        <f ca="1" t="shared" si="147"/>
        <v>43752</v>
      </c>
      <c r="G151" s="18">
        <v>43765</v>
      </c>
      <c r="H151" s="18">
        <v>43765</v>
      </c>
      <c r="I151" s="18">
        <f ca="1" t="shared" si="147"/>
        <v>43765</v>
      </c>
      <c r="J151" s="18">
        <f ca="1" t="shared" si="131"/>
        <v>43765</v>
      </c>
      <c r="L151" s="1">
        <v>39.1</v>
      </c>
      <c r="M151" s="1">
        <v>159</v>
      </c>
      <c r="N151" s="1">
        <v>35.3</v>
      </c>
      <c r="O151" s="1">
        <v>5134.8</v>
      </c>
      <c r="P151" s="1">
        <v>0</v>
      </c>
      <c r="Q151" s="1">
        <v>0</v>
      </c>
      <c r="R151" s="1">
        <v>0</v>
      </c>
      <c r="S151" s="1">
        <v>0</v>
      </c>
      <c r="T151" s="1">
        <v>0</v>
      </c>
      <c r="U151" s="1" t="s">
        <v>3329</v>
      </c>
      <c r="V151" s="1" t="s">
        <v>3329</v>
      </c>
      <c r="W151" s="1">
        <v>1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0</v>
      </c>
      <c r="AD151" s="1">
        <v>0</v>
      </c>
      <c r="AE151" s="1">
        <v>0</v>
      </c>
      <c r="AF151" s="1">
        <v>0</v>
      </c>
      <c r="AG151" s="1">
        <v>0</v>
      </c>
      <c r="AH151" s="1">
        <v>0</v>
      </c>
      <c r="AI151" s="1">
        <v>0</v>
      </c>
      <c r="AJ151" s="1">
        <v>0</v>
      </c>
      <c r="AK151" s="1">
        <v>0</v>
      </c>
      <c r="AL151" s="1">
        <v>0</v>
      </c>
      <c r="AM151" s="1">
        <v>0</v>
      </c>
      <c r="AN151" s="1">
        <v>0</v>
      </c>
      <c r="AO151" s="1">
        <v>1</v>
      </c>
      <c r="AP151" s="1">
        <v>0</v>
      </c>
      <c r="AQ151" s="1">
        <v>3</v>
      </c>
      <c r="AR151" s="1">
        <v>0</v>
      </c>
      <c r="AS151" s="1">
        <v>0</v>
      </c>
      <c r="AT151" s="1">
        <v>0</v>
      </c>
      <c r="AU151" s="1">
        <v>0</v>
      </c>
      <c r="AV151" s="1">
        <v>0</v>
      </c>
      <c r="AW151" s="1">
        <v>1</v>
      </c>
      <c r="AX151" s="1">
        <v>0</v>
      </c>
      <c r="AY151" s="1">
        <v>0</v>
      </c>
      <c r="AZ151" s="1">
        <v>0</v>
      </c>
      <c r="BA151" s="1">
        <v>0</v>
      </c>
      <c r="BB151" s="1">
        <v>0</v>
      </c>
      <c r="BC151" s="1">
        <v>0</v>
      </c>
      <c r="BD151" s="1">
        <v>0</v>
      </c>
      <c r="BE151" s="1">
        <v>3</v>
      </c>
      <c r="BF151" s="1">
        <v>0</v>
      </c>
      <c r="BG151" s="1">
        <v>0</v>
      </c>
      <c r="BH151" s="1">
        <v>0</v>
      </c>
      <c r="BI151" s="1">
        <v>0</v>
      </c>
      <c r="BJ151" s="1">
        <v>0</v>
      </c>
      <c r="BK151" s="1">
        <v>0</v>
      </c>
      <c r="BL151" s="1">
        <v>0</v>
      </c>
      <c r="BM151" s="1">
        <v>0</v>
      </c>
      <c r="BN151" s="1">
        <v>0</v>
      </c>
      <c r="BO151" s="1">
        <v>0</v>
      </c>
    </row>
    <row r="152" hidden="1" spans="1:67">
      <c r="A152" s="18">
        <v>43726</v>
      </c>
      <c r="B152" s="2">
        <v>43506</v>
      </c>
      <c r="C152" s="18">
        <v>43751</v>
      </c>
      <c r="D152" s="18">
        <f ca="1" t="shared" ref="D152:I152" si="148">C152</f>
        <v>43751</v>
      </c>
      <c r="E152" s="18">
        <v>43752</v>
      </c>
      <c r="F152" s="18">
        <f ca="1" t="shared" si="148"/>
        <v>43752</v>
      </c>
      <c r="G152" s="18">
        <v>43751</v>
      </c>
      <c r="H152" s="18">
        <v>43765</v>
      </c>
      <c r="I152" s="18">
        <f ca="1" t="shared" si="148"/>
        <v>43765</v>
      </c>
      <c r="J152" s="18">
        <f ca="1" t="shared" si="131"/>
        <v>43765</v>
      </c>
      <c r="L152" s="1">
        <v>42</v>
      </c>
      <c r="M152" s="1" t="s">
        <v>3414</v>
      </c>
      <c r="N152" s="1">
        <v>45.3</v>
      </c>
      <c r="O152" s="1">
        <v>5176.8</v>
      </c>
      <c r="P152" s="1">
        <v>0</v>
      </c>
      <c r="Q152" s="1">
        <v>0</v>
      </c>
      <c r="R152" s="1">
        <v>0</v>
      </c>
      <c r="S152" s="1">
        <v>0</v>
      </c>
      <c r="T152" s="1">
        <v>0</v>
      </c>
      <c r="U152" s="1">
        <v>0</v>
      </c>
      <c r="V152" s="1" t="s">
        <v>3329</v>
      </c>
      <c r="W152" s="1">
        <v>0</v>
      </c>
      <c r="X152" s="1">
        <v>1</v>
      </c>
      <c r="Y152" s="1">
        <v>0</v>
      </c>
      <c r="Z152" s="1">
        <v>1</v>
      </c>
      <c r="AA152" s="1">
        <v>0</v>
      </c>
      <c r="AB152" s="1">
        <v>0</v>
      </c>
      <c r="AC152" s="1">
        <v>0</v>
      </c>
      <c r="AD152" s="1">
        <v>0</v>
      </c>
      <c r="AE152" s="1">
        <v>0</v>
      </c>
      <c r="AF152" s="1">
        <v>0</v>
      </c>
      <c r="AG152" s="1">
        <v>0</v>
      </c>
      <c r="AH152" s="1">
        <v>0</v>
      </c>
      <c r="AI152" s="1">
        <v>0</v>
      </c>
      <c r="AJ152" s="1">
        <v>0</v>
      </c>
      <c r="AK152" s="1">
        <v>0</v>
      </c>
      <c r="AL152" s="1">
        <v>0</v>
      </c>
      <c r="AM152" s="1">
        <v>0</v>
      </c>
      <c r="AN152" s="1">
        <v>0</v>
      </c>
      <c r="AO152" s="1">
        <v>1</v>
      </c>
      <c r="AP152" s="1">
        <v>0</v>
      </c>
      <c r="AQ152" s="1">
        <v>3</v>
      </c>
      <c r="AR152" s="1">
        <v>0</v>
      </c>
      <c r="AS152" s="1">
        <v>0</v>
      </c>
      <c r="AT152" s="1">
        <v>0</v>
      </c>
      <c r="AU152" s="1">
        <v>0</v>
      </c>
      <c r="AV152" s="1">
        <v>0</v>
      </c>
      <c r="AW152" s="1">
        <v>1</v>
      </c>
      <c r="AX152" s="1">
        <v>0</v>
      </c>
      <c r="AY152" s="1">
        <v>0</v>
      </c>
      <c r="AZ152" s="1">
        <v>0</v>
      </c>
      <c r="BA152" s="1">
        <v>0</v>
      </c>
      <c r="BB152" s="1">
        <v>0</v>
      </c>
      <c r="BC152" s="1">
        <v>0</v>
      </c>
      <c r="BD152" s="1">
        <v>0</v>
      </c>
      <c r="BE152" s="1">
        <v>3</v>
      </c>
      <c r="BF152" s="1">
        <v>0</v>
      </c>
      <c r="BG152" s="1">
        <v>0</v>
      </c>
      <c r="BH152" s="1">
        <v>0</v>
      </c>
      <c r="BI152" s="1">
        <v>2</v>
      </c>
      <c r="BJ152" s="1">
        <v>0</v>
      </c>
      <c r="BK152" s="1">
        <v>3</v>
      </c>
      <c r="BL152" s="1">
        <v>4</v>
      </c>
      <c r="BM152" s="1">
        <v>0</v>
      </c>
      <c r="BN152" s="1">
        <v>0</v>
      </c>
      <c r="BO152" s="1">
        <v>0</v>
      </c>
    </row>
    <row r="153" hidden="1" spans="1:67">
      <c r="A153" s="18">
        <v>43726</v>
      </c>
      <c r="B153" s="2">
        <v>43506</v>
      </c>
      <c r="C153" s="18">
        <v>43751</v>
      </c>
      <c r="D153" s="18">
        <f ca="1" t="shared" ref="D153:I153" si="149">C153</f>
        <v>43751</v>
      </c>
      <c r="E153" s="18">
        <v>43752</v>
      </c>
      <c r="F153" s="18">
        <f ca="1" t="shared" si="149"/>
        <v>43752</v>
      </c>
      <c r="G153" s="18">
        <v>43765</v>
      </c>
      <c r="H153" s="18">
        <v>43765</v>
      </c>
      <c r="I153" s="18">
        <f ca="1" t="shared" si="149"/>
        <v>43765</v>
      </c>
      <c r="J153" s="18">
        <f ca="1" t="shared" si="131"/>
        <v>43765</v>
      </c>
      <c r="L153" s="1">
        <v>42.3</v>
      </c>
      <c r="M153" s="1">
        <v>160</v>
      </c>
      <c r="N153" s="1">
        <v>38.1</v>
      </c>
      <c r="O153" s="1">
        <v>5219.1</v>
      </c>
      <c r="P153" s="1">
        <v>0</v>
      </c>
      <c r="Q153" s="1">
        <v>0</v>
      </c>
      <c r="R153" s="1">
        <v>0</v>
      </c>
      <c r="S153" s="1">
        <v>0</v>
      </c>
      <c r="T153" s="1">
        <v>0</v>
      </c>
      <c r="U153" s="1" t="s">
        <v>3347</v>
      </c>
      <c r="V153" s="1" t="s">
        <v>3347</v>
      </c>
      <c r="W153" s="1">
        <v>2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0</v>
      </c>
      <c r="AD153" s="1">
        <v>0</v>
      </c>
      <c r="AE153" s="1">
        <v>0</v>
      </c>
      <c r="AF153" s="1">
        <v>0</v>
      </c>
      <c r="AG153" s="1">
        <v>0</v>
      </c>
      <c r="AH153" s="1">
        <v>0</v>
      </c>
      <c r="AI153" s="1">
        <v>0</v>
      </c>
      <c r="AJ153" s="1">
        <v>0</v>
      </c>
      <c r="AK153" s="1">
        <v>0</v>
      </c>
      <c r="AL153" s="1">
        <v>0</v>
      </c>
      <c r="AM153" s="1">
        <v>0</v>
      </c>
      <c r="AN153" s="1">
        <v>0</v>
      </c>
      <c r="AO153" s="1">
        <v>1</v>
      </c>
      <c r="AP153" s="1">
        <v>0</v>
      </c>
      <c r="AQ153" s="1">
        <v>3</v>
      </c>
      <c r="AR153" s="1">
        <v>0</v>
      </c>
      <c r="AS153" s="1">
        <v>0</v>
      </c>
      <c r="AT153" s="1">
        <v>0</v>
      </c>
      <c r="AU153" s="1">
        <v>0</v>
      </c>
      <c r="AV153" s="1">
        <v>0</v>
      </c>
      <c r="AW153" s="1">
        <v>1</v>
      </c>
      <c r="AX153" s="1">
        <v>1</v>
      </c>
      <c r="AY153" s="1">
        <v>1</v>
      </c>
      <c r="AZ153" s="1">
        <v>0</v>
      </c>
      <c r="BA153" s="1">
        <v>0</v>
      </c>
      <c r="BB153" s="1">
        <v>2</v>
      </c>
      <c r="BC153" s="1">
        <v>0</v>
      </c>
      <c r="BD153" s="1">
        <v>0</v>
      </c>
      <c r="BE153" s="1">
        <v>3</v>
      </c>
      <c r="BF153" s="1">
        <v>0</v>
      </c>
      <c r="BG153" s="1">
        <v>0</v>
      </c>
      <c r="BH153" s="1">
        <v>0</v>
      </c>
      <c r="BI153" s="1">
        <v>0</v>
      </c>
      <c r="BJ153" s="1">
        <v>0</v>
      </c>
      <c r="BK153" s="1">
        <v>0</v>
      </c>
      <c r="BL153" s="1">
        <v>0</v>
      </c>
      <c r="BM153" s="1">
        <v>0</v>
      </c>
      <c r="BN153" s="1" t="s">
        <v>3348</v>
      </c>
      <c r="BO153" s="1">
        <v>0</v>
      </c>
    </row>
    <row r="154" hidden="1" spans="1:67">
      <c r="A154" s="18">
        <v>43726</v>
      </c>
      <c r="B154" s="2">
        <v>43506</v>
      </c>
      <c r="C154" s="18">
        <v>43751</v>
      </c>
      <c r="D154" s="18">
        <f ca="1" t="shared" ref="D154:I154" si="150">C154</f>
        <v>43751</v>
      </c>
      <c r="E154" s="18">
        <v>43752</v>
      </c>
      <c r="F154" s="18">
        <f ca="1" t="shared" si="150"/>
        <v>43752</v>
      </c>
      <c r="G154" s="18">
        <v>43751</v>
      </c>
      <c r="H154" s="18">
        <v>43765</v>
      </c>
      <c r="I154" s="18">
        <f ca="1" t="shared" si="150"/>
        <v>43765</v>
      </c>
      <c r="J154" s="18">
        <f ca="1" t="shared" si="131"/>
        <v>43765</v>
      </c>
      <c r="L154" s="1">
        <v>38</v>
      </c>
      <c r="M154" s="1" t="s">
        <v>3415</v>
      </c>
      <c r="N154" s="1">
        <v>36.6</v>
      </c>
      <c r="O154" s="1">
        <v>5257.1</v>
      </c>
      <c r="P154" s="1">
        <v>0</v>
      </c>
      <c r="Q154" s="1">
        <v>0</v>
      </c>
      <c r="R154" s="1">
        <v>0</v>
      </c>
      <c r="S154" s="1">
        <v>0</v>
      </c>
      <c r="T154" s="1">
        <v>0</v>
      </c>
      <c r="U154" s="1">
        <v>0</v>
      </c>
      <c r="V154" s="1" t="s">
        <v>3329</v>
      </c>
      <c r="W154" s="1">
        <v>0</v>
      </c>
      <c r="X154" s="1">
        <v>1</v>
      </c>
      <c r="Y154" s="1">
        <v>0</v>
      </c>
      <c r="Z154" s="1">
        <v>0</v>
      </c>
      <c r="AA154" s="1">
        <v>1</v>
      </c>
      <c r="AB154" s="1">
        <v>0</v>
      </c>
      <c r="AC154" s="1">
        <v>0</v>
      </c>
      <c r="AD154" s="1">
        <v>0</v>
      </c>
      <c r="AE154" s="1">
        <v>0</v>
      </c>
      <c r="AF154" s="1">
        <v>0</v>
      </c>
      <c r="AG154" s="1">
        <v>0</v>
      </c>
      <c r="AH154" s="1">
        <v>0</v>
      </c>
      <c r="AI154" s="1">
        <v>0</v>
      </c>
      <c r="AJ154" s="1">
        <v>0</v>
      </c>
      <c r="AK154" s="1">
        <v>0</v>
      </c>
      <c r="AL154" s="1">
        <v>0</v>
      </c>
      <c r="AM154" s="1">
        <v>0</v>
      </c>
      <c r="AN154" s="1">
        <v>0</v>
      </c>
      <c r="AO154" s="1">
        <v>1</v>
      </c>
      <c r="AP154" s="1">
        <v>0</v>
      </c>
      <c r="AQ154" s="1">
        <v>3</v>
      </c>
      <c r="AR154" s="1">
        <v>0</v>
      </c>
      <c r="AS154" s="1">
        <v>0</v>
      </c>
      <c r="AT154" s="1">
        <v>0</v>
      </c>
      <c r="AU154" s="1">
        <v>0</v>
      </c>
      <c r="AV154" s="1">
        <v>0</v>
      </c>
      <c r="AW154" s="1">
        <v>1</v>
      </c>
      <c r="AX154" s="1">
        <v>0</v>
      </c>
      <c r="AY154" s="1">
        <v>0</v>
      </c>
      <c r="AZ154" s="1">
        <v>0</v>
      </c>
      <c r="BA154" s="1">
        <v>0</v>
      </c>
      <c r="BB154" s="1">
        <v>0</v>
      </c>
      <c r="BC154" s="1">
        <v>0</v>
      </c>
      <c r="BD154" s="1">
        <v>0</v>
      </c>
      <c r="BE154" s="1">
        <v>3</v>
      </c>
      <c r="BF154" s="1">
        <v>0</v>
      </c>
      <c r="BG154" s="1">
        <v>0</v>
      </c>
      <c r="BH154" s="1">
        <v>0</v>
      </c>
      <c r="BI154" s="1">
        <v>2</v>
      </c>
      <c r="BJ154" s="1">
        <v>0</v>
      </c>
      <c r="BK154" s="1">
        <v>3</v>
      </c>
      <c r="BL154" s="1">
        <v>4</v>
      </c>
      <c r="BM154" s="1">
        <v>0</v>
      </c>
      <c r="BN154" s="1">
        <v>0</v>
      </c>
      <c r="BO154" s="1">
        <v>0</v>
      </c>
    </row>
    <row r="155" hidden="1" spans="1:67">
      <c r="A155" s="18">
        <v>43726</v>
      </c>
      <c r="B155" s="2">
        <v>43506</v>
      </c>
      <c r="C155" s="18">
        <v>43751</v>
      </c>
      <c r="D155" s="18">
        <f ca="1" t="shared" ref="D155:I155" si="151">C155</f>
        <v>43751</v>
      </c>
      <c r="E155" s="18">
        <v>43752</v>
      </c>
      <c r="F155" s="18">
        <f ca="1" t="shared" si="151"/>
        <v>43752</v>
      </c>
      <c r="G155" s="18">
        <v>43751</v>
      </c>
      <c r="H155" s="18">
        <v>43765</v>
      </c>
      <c r="I155" s="18">
        <f ca="1" t="shared" si="151"/>
        <v>43765</v>
      </c>
      <c r="J155" s="18">
        <f ca="1" t="shared" si="131"/>
        <v>43765</v>
      </c>
      <c r="L155" s="1">
        <v>37.9</v>
      </c>
      <c r="M155" s="1">
        <v>161</v>
      </c>
      <c r="N155" s="1">
        <v>41</v>
      </c>
      <c r="O155" s="1">
        <v>5295</v>
      </c>
      <c r="P155" s="1">
        <v>0</v>
      </c>
      <c r="Q155" s="1">
        <v>0</v>
      </c>
      <c r="R155" s="1">
        <v>0</v>
      </c>
      <c r="S155" s="1">
        <v>0</v>
      </c>
      <c r="T155" s="1">
        <v>5</v>
      </c>
      <c r="U155" s="1" t="s">
        <v>3329</v>
      </c>
      <c r="V155" s="1" t="s">
        <v>3329</v>
      </c>
      <c r="W155" s="1">
        <v>1</v>
      </c>
      <c r="X155" s="1">
        <v>0</v>
      </c>
      <c r="Y155" s="1">
        <v>1</v>
      </c>
      <c r="Z155" s="1">
        <v>0</v>
      </c>
      <c r="AA155" s="1">
        <v>0</v>
      </c>
      <c r="AB155" s="1">
        <v>0</v>
      </c>
      <c r="AC155" s="1">
        <v>1</v>
      </c>
      <c r="AD155" s="1">
        <v>0</v>
      </c>
      <c r="AE155" s="1">
        <v>0</v>
      </c>
      <c r="AF155" s="1">
        <v>0</v>
      </c>
      <c r="AG155" s="1">
        <v>0</v>
      </c>
      <c r="AH155" s="1">
        <v>0</v>
      </c>
      <c r="AI155" s="1">
        <v>0</v>
      </c>
      <c r="AJ155" s="1">
        <v>0</v>
      </c>
      <c r="AK155" s="1">
        <v>0</v>
      </c>
      <c r="AL155" s="1">
        <v>1</v>
      </c>
      <c r="AM155" s="1">
        <v>0</v>
      </c>
      <c r="AN155" s="1">
        <v>0</v>
      </c>
      <c r="AO155" s="1">
        <v>1</v>
      </c>
      <c r="AP155" s="1">
        <v>0</v>
      </c>
      <c r="AQ155" s="1">
        <v>3</v>
      </c>
      <c r="AR155" s="1">
        <v>0</v>
      </c>
      <c r="AS155" s="1">
        <v>0</v>
      </c>
      <c r="AT155" s="1">
        <v>0</v>
      </c>
      <c r="AU155" s="1">
        <v>0</v>
      </c>
      <c r="AV155" s="1">
        <v>0</v>
      </c>
      <c r="AW155" s="1">
        <v>1</v>
      </c>
      <c r="AX155" s="1">
        <v>1</v>
      </c>
      <c r="AY155" s="1">
        <v>1</v>
      </c>
      <c r="AZ155" s="1">
        <v>0</v>
      </c>
      <c r="BA155" s="1">
        <v>0</v>
      </c>
      <c r="BB155" s="1">
        <v>0</v>
      </c>
      <c r="BC155" s="1">
        <v>0</v>
      </c>
      <c r="BD155" s="1">
        <v>0</v>
      </c>
      <c r="BE155" s="1">
        <v>3</v>
      </c>
      <c r="BF155" s="1">
        <v>0</v>
      </c>
      <c r="BG155" s="1">
        <v>0</v>
      </c>
      <c r="BH155" s="1">
        <v>0</v>
      </c>
      <c r="BI155" s="1">
        <v>0</v>
      </c>
      <c r="BJ155" s="1">
        <v>0</v>
      </c>
      <c r="BK155" s="1">
        <v>0</v>
      </c>
      <c r="BL155" s="1">
        <v>0</v>
      </c>
      <c r="BM155" s="1">
        <v>0</v>
      </c>
      <c r="BN155" s="1" t="s">
        <v>3341</v>
      </c>
      <c r="BO155" s="1">
        <v>0</v>
      </c>
    </row>
    <row r="156" hidden="1" spans="1:67">
      <c r="A156" s="18">
        <v>43726</v>
      </c>
      <c r="B156" s="2">
        <v>43506</v>
      </c>
      <c r="C156" s="18">
        <v>43751</v>
      </c>
      <c r="D156" s="18">
        <f ca="1" t="shared" ref="D156:I156" si="152">C156</f>
        <v>43751</v>
      </c>
      <c r="E156" s="18">
        <v>43752</v>
      </c>
      <c r="F156" s="18">
        <f ca="1" t="shared" si="152"/>
        <v>43752</v>
      </c>
      <c r="G156" s="18">
        <v>43765</v>
      </c>
      <c r="H156" s="18">
        <v>43765</v>
      </c>
      <c r="I156" s="18">
        <f ca="1" t="shared" si="152"/>
        <v>43765</v>
      </c>
      <c r="J156" s="18">
        <f ca="1" t="shared" si="131"/>
        <v>43765</v>
      </c>
      <c r="L156" s="1">
        <v>30.4</v>
      </c>
      <c r="M156" s="1" t="s">
        <v>3416</v>
      </c>
      <c r="N156" s="1">
        <v>32.5</v>
      </c>
      <c r="O156" s="1">
        <v>5325.4</v>
      </c>
      <c r="P156" s="1">
        <v>5</v>
      </c>
      <c r="Q156" s="1">
        <v>1</v>
      </c>
      <c r="R156" s="1">
        <v>0</v>
      </c>
      <c r="S156" s="1">
        <v>0</v>
      </c>
      <c r="T156" s="1">
        <v>1</v>
      </c>
      <c r="U156" s="1" t="s">
        <v>3347</v>
      </c>
      <c r="V156" s="1" t="s">
        <v>3347</v>
      </c>
      <c r="W156" s="1">
        <v>1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0</v>
      </c>
      <c r="AD156" s="1">
        <v>0</v>
      </c>
      <c r="AE156" s="1">
        <v>0</v>
      </c>
      <c r="AF156" s="1">
        <v>0</v>
      </c>
      <c r="AG156" s="1">
        <v>0</v>
      </c>
      <c r="AH156" s="1">
        <v>0</v>
      </c>
      <c r="AI156" s="1">
        <v>0</v>
      </c>
      <c r="AJ156" s="1">
        <v>0</v>
      </c>
      <c r="AK156" s="1">
        <v>0</v>
      </c>
      <c r="AL156" s="1">
        <v>0</v>
      </c>
      <c r="AM156" s="1">
        <v>0</v>
      </c>
      <c r="AN156" s="1">
        <v>0</v>
      </c>
      <c r="AO156" s="1">
        <v>1</v>
      </c>
      <c r="AP156" s="1">
        <v>0</v>
      </c>
      <c r="AQ156" s="1">
        <v>3</v>
      </c>
      <c r="AR156" s="1">
        <v>0</v>
      </c>
      <c r="AS156" s="1">
        <v>0</v>
      </c>
      <c r="AT156" s="1">
        <v>1</v>
      </c>
      <c r="AU156" s="1">
        <v>0</v>
      </c>
      <c r="AV156" s="1">
        <v>0</v>
      </c>
      <c r="AW156" s="1">
        <v>1</v>
      </c>
      <c r="AX156" s="1">
        <v>1</v>
      </c>
      <c r="AY156" s="1">
        <v>1</v>
      </c>
      <c r="AZ156" s="1">
        <v>2</v>
      </c>
      <c r="BA156" s="1">
        <v>0</v>
      </c>
      <c r="BB156" s="1">
        <v>2</v>
      </c>
      <c r="BC156" s="1">
        <v>0</v>
      </c>
      <c r="BD156" s="1">
        <v>0</v>
      </c>
      <c r="BE156" s="1">
        <v>3</v>
      </c>
      <c r="BF156" s="1">
        <v>0</v>
      </c>
      <c r="BG156" s="1">
        <v>0</v>
      </c>
      <c r="BH156" s="1">
        <v>0</v>
      </c>
      <c r="BI156" s="1">
        <v>0</v>
      </c>
      <c r="BJ156" s="1">
        <v>0</v>
      </c>
      <c r="BK156" s="1">
        <v>0</v>
      </c>
      <c r="BL156" s="1">
        <v>0</v>
      </c>
      <c r="BM156" s="1">
        <v>0</v>
      </c>
      <c r="BN156" s="1" t="s">
        <v>3348</v>
      </c>
      <c r="BO156" s="1">
        <v>0</v>
      </c>
    </row>
    <row r="157" hidden="1" spans="1:67">
      <c r="A157" s="18">
        <v>43726</v>
      </c>
      <c r="B157" s="2">
        <v>43506</v>
      </c>
      <c r="C157" s="18">
        <v>43751</v>
      </c>
      <c r="D157" s="18">
        <f ca="1" t="shared" ref="D157:I157" si="153">C157</f>
        <v>43751</v>
      </c>
      <c r="E157" s="18">
        <v>43752</v>
      </c>
      <c r="F157" s="18">
        <f ca="1" t="shared" si="153"/>
        <v>43752</v>
      </c>
      <c r="G157" s="18">
        <v>43765</v>
      </c>
      <c r="H157" s="18">
        <v>43765</v>
      </c>
      <c r="I157" s="18">
        <f ca="1" t="shared" si="153"/>
        <v>43765</v>
      </c>
      <c r="J157" s="18">
        <f ca="1" t="shared" si="131"/>
        <v>43765</v>
      </c>
      <c r="L157" s="1">
        <v>42.3</v>
      </c>
      <c r="M157" s="1">
        <v>162</v>
      </c>
      <c r="N157" s="1">
        <v>44.2</v>
      </c>
      <c r="O157" s="1">
        <v>5367.7</v>
      </c>
      <c r="P157" s="1">
        <v>0</v>
      </c>
      <c r="Q157" s="1">
        <v>0</v>
      </c>
      <c r="R157" s="1">
        <v>0</v>
      </c>
      <c r="S157" s="1">
        <v>0</v>
      </c>
      <c r="T157" s="1">
        <v>0</v>
      </c>
      <c r="U157" s="1" t="s">
        <v>3329</v>
      </c>
      <c r="V157" s="1" t="s">
        <v>3329</v>
      </c>
      <c r="W157" s="1">
        <v>1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0</v>
      </c>
      <c r="AD157" s="1">
        <v>0</v>
      </c>
      <c r="AE157" s="1">
        <v>0</v>
      </c>
      <c r="AF157" s="1">
        <v>0</v>
      </c>
      <c r="AG157" s="1">
        <v>0</v>
      </c>
      <c r="AH157" s="1">
        <v>0</v>
      </c>
      <c r="AI157" s="1">
        <v>0</v>
      </c>
      <c r="AJ157" s="1">
        <v>0</v>
      </c>
      <c r="AK157" s="1">
        <v>0</v>
      </c>
      <c r="AL157" s="1">
        <v>0</v>
      </c>
      <c r="AM157" s="1">
        <v>0</v>
      </c>
      <c r="AN157" s="1">
        <v>0</v>
      </c>
      <c r="AO157" s="1">
        <v>1</v>
      </c>
      <c r="AP157" s="1">
        <v>0</v>
      </c>
      <c r="AQ157" s="1">
        <v>3</v>
      </c>
      <c r="AR157" s="1">
        <v>0</v>
      </c>
      <c r="AS157" s="1">
        <v>0</v>
      </c>
      <c r="AT157" s="1">
        <v>0</v>
      </c>
      <c r="AU157" s="1">
        <v>0</v>
      </c>
      <c r="AV157" s="1">
        <v>0</v>
      </c>
      <c r="AW157" s="1">
        <v>1</v>
      </c>
      <c r="AX157" s="1">
        <v>0</v>
      </c>
      <c r="AY157" s="1">
        <v>0</v>
      </c>
      <c r="AZ157" s="1">
        <v>0</v>
      </c>
      <c r="BA157" s="1">
        <v>0</v>
      </c>
      <c r="BB157" s="1">
        <v>0</v>
      </c>
      <c r="BC157" s="1">
        <v>0</v>
      </c>
      <c r="BD157" s="1">
        <v>0</v>
      </c>
      <c r="BE157" s="1">
        <v>3</v>
      </c>
      <c r="BF157" s="1">
        <v>0</v>
      </c>
      <c r="BG157" s="1">
        <v>0</v>
      </c>
      <c r="BH157" s="1">
        <v>0</v>
      </c>
      <c r="BI157" s="1">
        <v>0</v>
      </c>
      <c r="BJ157" s="1">
        <v>0</v>
      </c>
      <c r="BK157" s="1">
        <v>0</v>
      </c>
      <c r="BL157" s="1">
        <v>0</v>
      </c>
      <c r="BM157" s="1">
        <v>0</v>
      </c>
      <c r="BN157" s="1">
        <v>0</v>
      </c>
      <c r="BO157" s="1">
        <v>0</v>
      </c>
    </row>
    <row r="158" hidden="1" spans="1:67">
      <c r="A158" s="18">
        <v>43726</v>
      </c>
      <c r="B158" s="2">
        <v>43506</v>
      </c>
      <c r="C158" s="18">
        <v>43751</v>
      </c>
      <c r="D158" s="18">
        <f ca="1" t="shared" ref="D158:I158" si="154">C158</f>
        <v>43751</v>
      </c>
      <c r="E158" s="18">
        <v>43752</v>
      </c>
      <c r="F158" s="18">
        <f ca="1" t="shared" si="154"/>
        <v>43752</v>
      </c>
      <c r="G158" s="18">
        <v>43751</v>
      </c>
      <c r="H158" s="18">
        <v>43765</v>
      </c>
      <c r="I158" s="18">
        <f ca="1" t="shared" si="154"/>
        <v>43765</v>
      </c>
      <c r="J158" s="18">
        <f ca="1" t="shared" si="131"/>
        <v>43765</v>
      </c>
      <c r="L158" s="1">
        <v>39.1</v>
      </c>
      <c r="M158" s="1" t="s">
        <v>3417</v>
      </c>
      <c r="N158" s="1">
        <v>43.6</v>
      </c>
      <c r="O158" s="1">
        <v>5406.8</v>
      </c>
      <c r="P158" s="1">
        <v>0</v>
      </c>
      <c r="Q158" s="1">
        <v>0</v>
      </c>
      <c r="R158" s="1">
        <v>0</v>
      </c>
      <c r="S158" s="1">
        <v>0</v>
      </c>
      <c r="T158" s="1">
        <v>0</v>
      </c>
      <c r="U158" s="1">
        <v>0</v>
      </c>
      <c r="V158" s="1" t="s">
        <v>3329</v>
      </c>
      <c r="W158" s="1">
        <v>0</v>
      </c>
      <c r="X158" s="1">
        <v>1</v>
      </c>
      <c r="Y158" s="1">
        <v>0</v>
      </c>
      <c r="Z158" s="1">
        <v>1</v>
      </c>
      <c r="AA158" s="1">
        <v>0</v>
      </c>
      <c r="AB158" s="1">
        <v>0</v>
      </c>
      <c r="AC158" s="1">
        <v>0</v>
      </c>
      <c r="AD158" s="1">
        <v>0</v>
      </c>
      <c r="AE158" s="1">
        <v>0</v>
      </c>
      <c r="AF158" s="1">
        <v>0</v>
      </c>
      <c r="AG158" s="1">
        <v>0</v>
      </c>
      <c r="AH158" s="1">
        <v>0</v>
      </c>
      <c r="AI158" s="1">
        <v>0</v>
      </c>
      <c r="AJ158" s="1">
        <v>1</v>
      </c>
      <c r="AK158" s="1">
        <v>0</v>
      </c>
      <c r="AL158" s="1">
        <v>0</v>
      </c>
      <c r="AM158" s="1">
        <v>0</v>
      </c>
      <c r="AN158" s="1">
        <v>0</v>
      </c>
      <c r="AO158" s="1">
        <v>1</v>
      </c>
      <c r="AP158" s="1">
        <v>0</v>
      </c>
      <c r="AQ158" s="1">
        <v>3</v>
      </c>
      <c r="AR158" s="1">
        <v>0</v>
      </c>
      <c r="AS158" s="1">
        <v>0</v>
      </c>
      <c r="AT158" s="1">
        <v>0</v>
      </c>
      <c r="AU158" s="1">
        <v>0</v>
      </c>
      <c r="AV158" s="1">
        <v>0</v>
      </c>
      <c r="AW158" s="1">
        <v>1</v>
      </c>
      <c r="AX158" s="1">
        <v>0</v>
      </c>
      <c r="AY158" s="1">
        <v>0</v>
      </c>
      <c r="AZ158" s="1">
        <v>0</v>
      </c>
      <c r="BA158" s="1">
        <v>0</v>
      </c>
      <c r="BB158" s="1">
        <v>0</v>
      </c>
      <c r="BC158" s="1">
        <v>0</v>
      </c>
      <c r="BD158" s="1">
        <v>0</v>
      </c>
      <c r="BE158" s="1">
        <v>3</v>
      </c>
      <c r="BF158" s="1">
        <v>0</v>
      </c>
      <c r="BG158" s="1">
        <v>0</v>
      </c>
      <c r="BH158" s="1">
        <v>0</v>
      </c>
      <c r="BI158" s="1">
        <v>2</v>
      </c>
      <c r="BJ158" s="1">
        <v>0</v>
      </c>
      <c r="BK158" s="1">
        <v>3</v>
      </c>
      <c r="BL158" s="1">
        <v>4</v>
      </c>
      <c r="BM158" s="1">
        <v>0</v>
      </c>
      <c r="BN158" s="1">
        <v>0</v>
      </c>
      <c r="BO158" s="1">
        <v>0</v>
      </c>
    </row>
    <row r="159" hidden="1" spans="1:67">
      <c r="A159" s="18">
        <v>43726</v>
      </c>
      <c r="B159" s="2">
        <v>43506</v>
      </c>
      <c r="C159" s="18">
        <v>43751</v>
      </c>
      <c r="D159" s="18">
        <f ca="1" t="shared" ref="D159:I159" si="155">C159</f>
        <v>43751</v>
      </c>
      <c r="E159" s="18">
        <v>43752</v>
      </c>
      <c r="F159" s="18">
        <f ca="1" t="shared" si="155"/>
        <v>43752</v>
      </c>
      <c r="G159" s="18">
        <v>43765</v>
      </c>
      <c r="H159" s="18">
        <v>43765</v>
      </c>
      <c r="I159" s="18">
        <f ca="1" t="shared" si="155"/>
        <v>43765</v>
      </c>
      <c r="J159" s="18">
        <f ca="1" t="shared" si="131"/>
        <v>43765</v>
      </c>
      <c r="L159" s="1">
        <v>39</v>
      </c>
      <c r="M159" s="1">
        <v>163</v>
      </c>
      <c r="N159" s="1">
        <v>36.6</v>
      </c>
      <c r="O159" s="1">
        <v>5445.8</v>
      </c>
      <c r="P159" s="1">
        <v>0</v>
      </c>
      <c r="Q159" s="1">
        <v>0</v>
      </c>
      <c r="R159" s="1">
        <v>0</v>
      </c>
      <c r="S159" s="1">
        <v>0</v>
      </c>
      <c r="T159" s="1">
        <v>0</v>
      </c>
      <c r="U159" s="1" t="s">
        <v>3329</v>
      </c>
      <c r="V159" s="1" t="s">
        <v>3329</v>
      </c>
      <c r="W159" s="1">
        <v>1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0</v>
      </c>
      <c r="AD159" s="1">
        <v>0</v>
      </c>
      <c r="AE159" s="1">
        <v>0</v>
      </c>
      <c r="AF159" s="1">
        <v>0</v>
      </c>
      <c r="AG159" s="1">
        <v>0</v>
      </c>
      <c r="AH159" s="1">
        <v>0</v>
      </c>
      <c r="AI159" s="1">
        <v>0</v>
      </c>
      <c r="AJ159" s="1">
        <v>0</v>
      </c>
      <c r="AK159" s="1">
        <v>0</v>
      </c>
      <c r="AL159" s="1">
        <v>0</v>
      </c>
      <c r="AM159" s="1">
        <v>0</v>
      </c>
      <c r="AN159" s="1">
        <v>0</v>
      </c>
      <c r="AO159" s="1">
        <v>1</v>
      </c>
      <c r="AP159" s="1">
        <v>0</v>
      </c>
      <c r="AQ159" s="1">
        <v>3</v>
      </c>
      <c r="AR159" s="1">
        <v>0</v>
      </c>
      <c r="AS159" s="1">
        <v>0</v>
      </c>
      <c r="AT159" s="1">
        <v>0</v>
      </c>
      <c r="AU159" s="1">
        <v>0</v>
      </c>
      <c r="AV159" s="1">
        <v>0</v>
      </c>
      <c r="AW159" s="1">
        <v>1</v>
      </c>
      <c r="AX159" s="1">
        <v>0</v>
      </c>
      <c r="AY159" s="1">
        <v>0</v>
      </c>
      <c r="AZ159" s="1">
        <v>0</v>
      </c>
      <c r="BA159" s="1">
        <v>0</v>
      </c>
      <c r="BB159" s="1">
        <v>0</v>
      </c>
      <c r="BC159" s="1">
        <v>0</v>
      </c>
      <c r="BD159" s="1">
        <v>0</v>
      </c>
      <c r="BE159" s="1">
        <v>3</v>
      </c>
      <c r="BF159" s="1">
        <v>0</v>
      </c>
      <c r="BG159" s="1">
        <v>0</v>
      </c>
      <c r="BH159" s="1">
        <v>0</v>
      </c>
      <c r="BI159" s="1">
        <v>0</v>
      </c>
      <c r="BJ159" s="1">
        <v>0</v>
      </c>
      <c r="BK159" s="1">
        <v>0</v>
      </c>
      <c r="BL159" s="1">
        <v>0</v>
      </c>
      <c r="BM159" s="1">
        <v>0</v>
      </c>
      <c r="BN159" s="1">
        <v>0</v>
      </c>
      <c r="BO159" s="1">
        <v>0</v>
      </c>
    </row>
    <row r="160" hidden="1" spans="1:67">
      <c r="A160" s="18">
        <v>43731</v>
      </c>
      <c r="B160" s="2">
        <v>43506</v>
      </c>
      <c r="C160" s="18">
        <v>43751</v>
      </c>
      <c r="D160" s="18">
        <f ca="1" t="shared" ref="D160:I160" si="156">C160</f>
        <v>43751</v>
      </c>
      <c r="E160" s="18">
        <v>43752</v>
      </c>
      <c r="F160" s="18">
        <f ca="1" t="shared" si="156"/>
        <v>43752</v>
      </c>
      <c r="G160" s="18">
        <v>43751</v>
      </c>
      <c r="H160" s="18">
        <v>43765</v>
      </c>
      <c r="I160" s="18">
        <f ca="1" t="shared" si="156"/>
        <v>43765</v>
      </c>
      <c r="J160" s="18">
        <f ca="1" t="shared" si="131"/>
        <v>43765</v>
      </c>
      <c r="L160" s="1">
        <v>40</v>
      </c>
      <c r="M160" s="1" t="s">
        <v>3418</v>
      </c>
      <c r="N160" s="1">
        <v>41.1</v>
      </c>
      <c r="O160" s="1">
        <v>5485.8</v>
      </c>
      <c r="P160" s="1">
        <v>0</v>
      </c>
      <c r="Q160" s="1">
        <v>0</v>
      </c>
      <c r="R160" s="1">
        <v>0</v>
      </c>
      <c r="S160" s="1">
        <v>0</v>
      </c>
      <c r="T160" s="1">
        <v>0</v>
      </c>
      <c r="U160" s="1">
        <v>0</v>
      </c>
      <c r="V160" s="1" t="s">
        <v>3329</v>
      </c>
      <c r="W160" s="1">
        <v>0</v>
      </c>
      <c r="X160" s="1">
        <v>1</v>
      </c>
      <c r="Y160" s="1">
        <v>0</v>
      </c>
      <c r="Z160" s="1">
        <v>1</v>
      </c>
      <c r="AA160" s="1">
        <v>0</v>
      </c>
      <c r="AB160" s="1">
        <v>0</v>
      </c>
      <c r="AC160" s="1">
        <v>0</v>
      </c>
      <c r="AD160" s="1">
        <v>0</v>
      </c>
      <c r="AE160" s="1">
        <v>0</v>
      </c>
      <c r="AF160" s="1">
        <v>0</v>
      </c>
      <c r="AG160" s="1">
        <v>0</v>
      </c>
      <c r="AH160" s="1">
        <v>0</v>
      </c>
      <c r="AI160" s="1">
        <v>0</v>
      </c>
      <c r="AJ160" s="1">
        <v>0</v>
      </c>
      <c r="AK160" s="1">
        <v>0</v>
      </c>
      <c r="AL160" s="1">
        <v>0</v>
      </c>
      <c r="AM160" s="1">
        <v>0</v>
      </c>
      <c r="AN160" s="1">
        <v>0</v>
      </c>
      <c r="AO160" s="1">
        <v>1</v>
      </c>
      <c r="AP160" s="1">
        <v>0</v>
      </c>
      <c r="AQ160" s="1">
        <v>3</v>
      </c>
      <c r="AR160" s="1">
        <v>0</v>
      </c>
      <c r="AS160" s="1">
        <v>0</v>
      </c>
      <c r="AT160" s="1">
        <v>0</v>
      </c>
      <c r="AU160" s="1">
        <v>0</v>
      </c>
      <c r="AV160" s="1">
        <v>0</v>
      </c>
      <c r="AW160" s="1">
        <v>1</v>
      </c>
      <c r="AX160" s="1">
        <v>0</v>
      </c>
      <c r="AY160" s="1">
        <v>0</v>
      </c>
      <c r="AZ160" s="1">
        <v>0</v>
      </c>
      <c r="BA160" s="1">
        <v>0</v>
      </c>
      <c r="BB160" s="1">
        <v>0</v>
      </c>
      <c r="BC160" s="1">
        <v>0</v>
      </c>
      <c r="BD160" s="1">
        <v>0</v>
      </c>
      <c r="BE160" s="1">
        <v>3</v>
      </c>
      <c r="BF160" s="1">
        <v>0</v>
      </c>
      <c r="BG160" s="1">
        <v>0</v>
      </c>
      <c r="BH160" s="1">
        <v>0</v>
      </c>
      <c r="BI160" s="1">
        <v>2</v>
      </c>
      <c r="BJ160" s="1">
        <v>0</v>
      </c>
      <c r="BK160" s="1">
        <v>6</v>
      </c>
      <c r="BL160" s="1">
        <v>4</v>
      </c>
      <c r="BM160" s="1">
        <v>0</v>
      </c>
      <c r="BN160" s="1">
        <v>0</v>
      </c>
      <c r="BO160" s="1">
        <v>0</v>
      </c>
    </row>
    <row r="161" hidden="1" spans="1:67">
      <c r="A161" s="18">
        <v>43731</v>
      </c>
      <c r="B161" s="2">
        <v>43506</v>
      </c>
      <c r="C161" s="18">
        <v>43751</v>
      </c>
      <c r="D161" s="18">
        <f ca="1" t="shared" ref="D161:I161" si="157">C161</f>
        <v>43751</v>
      </c>
      <c r="E161" s="18">
        <v>43752</v>
      </c>
      <c r="F161" s="18">
        <f ca="1" t="shared" si="157"/>
        <v>43752</v>
      </c>
      <c r="G161" s="18">
        <v>43751</v>
      </c>
      <c r="H161" s="18">
        <v>43765</v>
      </c>
      <c r="I161" s="18">
        <f ca="1" t="shared" si="157"/>
        <v>43765</v>
      </c>
      <c r="J161" s="18">
        <f ca="1" t="shared" si="131"/>
        <v>43765</v>
      </c>
      <c r="L161" s="1">
        <v>40.1</v>
      </c>
      <c r="M161" s="1">
        <v>164</v>
      </c>
      <c r="N161" s="1">
        <v>41.3</v>
      </c>
      <c r="O161" s="1">
        <v>5525.9</v>
      </c>
      <c r="P161" s="1">
        <v>0</v>
      </c>
      <c r="Q161" s="1">
        <v>0</v>
      </c>
      <c r="R161" s="1">
        <v>0</v>
      </c>
      <c r="S161" s="1">
        <v>0</v>
      </c>
      <c r="T161" s="1">
        <v>5</v>
      </c>
      <c r="U161" s="1" t="s">
        <v>3329</v>
      </c>
      <c r="V161" s="1" t="s">
        <v>3329</v>
      </c>
      <c r="W161" s="1">
        <v>1</v>
      </c>
      <c r="X161" s="1">
        <v>0</v>
      </c>
      <c r="Y161" s="1">
        <v>1</v>
      </c>
      <c r="Z161" s="1">
        <v>0</v>
      </c>
      <c r="AA161" s="1">
        <v>0</v>
      </c>
      <c r="AB161" s="1">
        <v>0</v>
      </c>
      <c r="AC161" s="1">
        <v>1</v>
      </c>
      <c r="AD161" s="1">
        <v>0</v>
      </c>
      <c r="AE161" s="1">
        <v>0</v>
      </c>
      <c r="AF161" s="1">
        <v>0</v>
      </c>
      <c r="AG161" s="1">
        <v>0</v>
      </c>
      <c r="AH161" s="1">
        <v>0</v>
      </c>
      <c r="AI161" s="1">
        <v>0</v>
      </c>
      <c r="AJ161" s="1">
        <v>0</v>
      </c>
      <c r="AK161" s="1">
        <v>0</v>
      </c>
      <c r="AL161" s="1">
        <v>1</v>
      </c>
      <c r="AM161" s="1">
        <v>0</v>
      </c>
      <c r="AN161" s="1">
        <v>0</v>
      </c>
      <c r="AO161" s="1">
        <v>1</v>
      </c>
      <c r="AP161" s="1">
        <v>0</v>
      </c>
      <c r="AQ161" s="1">
        <v>3</v>
      </c>
      <c r="AR161" s="1">
        <v>0</v>
      </c>
      <c r="AS161" s="1">
        <v>0</v>
      </c>
      <c r="AT161" s="1">
        <v>0</v>
      </c>
      <c r="AU161" s="1">
        <v>0</v>
      </c>
      <c r="AV161" s="1">
        <v>0</v>
      </c>
      <c r="AW161" s="1">
        <v>1</v>
      </c>
      <c r="AX161" s="1">
        <v>1</v>
      </c>
      <c r="AY161" s="1">
        <v>1</v>
      </c>
      <c r="AZ161" s="1">
        <v>0</v>
      </c>
      <c r="BA161" s="1">
        <v>0</v>
      </c>
      <c r="BB161" s="1">
        <v>2</v>
      </c>
      <c r="BC161" s="1">
        <v>0</v>
      </c>
      <c r="BD161" s="1">
        <v>0</v>
      </c>
      <c r="BE161" s="1">
        <v>3</v>
      </c>
      <c r="BF161" s="1">
        <v>0</v>
      </c>
      <c r="BG161" s="1">
        <v>0</v>
      </c>
      <c r="BH161" s="1">
        <v>0</v>
      </c>
      <c r="BI161" s="1">
        <v>0</v>
      </c>
      <c r="BJ161" s="1">
        <v>0</v>
      </c>
      <c r="BK161" s="1">
        <v>0</v>
      </c>
      <c r="BL161" s="1">
        <v>0</v>
      </c>
      <c r="BM161" s="1">
        <v>0</v>
      </c>
      <c r="BN161" s="1" t="s">
        <v>3341</v>
      </c>
      <c r="BO161" s="1">
        <v>0</v>
      </c>
    </row>
    <row r="162" hidden="1" spans="1:67">
      <c r="A162" s="18">
        <v>43731</v>
      </c>
      <c r="B162" s="2">
        <v>43506</v>
      </c>
      <c r="C162" s="18">
        <v>43751</v>
      </c>
      <c r="D162" s="18">
        <f ca="1" t="shared" ref="D162:I162" si="158">C162</f>
        <v>43751</v>
      </c>
      <c r="E162" s="18">
        <v>43752</v>
      </c>
      <c r="F162" s="18">
        <f ca="1" t="shared" si="158"/>
        <v>43752</v>
      </c>
      <c r="G162" s="18">
        <v>43751</v>
      </c>
      <c r="H162" s="18">
        <v>43765</v>
      </c>
      <c r="I162" s="18">
        <f ca="1" t="shared" si="158"/>
        <v>43765</v>
      </c>
      <c r="J162" s="18">
        <f ca="1" t="shared" si="131"/>
        <v>43765</v>
      </c>
      <c r="L162" s="1">
        <v>40</v>
      </c>
      <c r="M162" s="1" t="s">
        <v>3419</v>
      </c>
      <c r="N162" s="1">
        <v>41.7</v>
      </c>
      <c r="O162" s="1">
        <v>5565.9</v>
      </c>
      <c r="P162" s="1">
        <v>0</v>
      </c>
      <c r="Q162" s="1">
        <v>0</v>
      </c>
      <c r="R162" s="1">
        <v>0</v>
      </c>
      <c r="S162" s="1">
        <v>0</v>
      </c>
      <c r="T162" s="1">
        <v>0</v>
      </c>
      <c r="U162" s="1">
        <v>0</v>
      </c>
      <c r="V162" s="1" t="s">
        <v>3324</v>
      </c>
      <c r="W162" s="1">
        <v>0</v>
      </c>
      <c r="X162" s="1">
        <v>2</v>
      </c>
      <c r="Y162" s="1">
        <v>0</v>
      </c>
      <c r="Z162" s="1">
        <v>0</v>
      </c>
      <c r="AA162" s="1">
        <v>0</v>
      </c>
      <c r="AB162" s="1">
        <v>1</v>
      </c>
      <c r="AC162" s="1">
        <v>0</v>
      </c>
      <c r="AD162" s="1">
        <v>0</v>
      </c>
      <c r="AE162" s="1">
        <v>0</v>
      </c>
      <c r="AF162" s="1">
        <v>0</v>
      </c>
      <c r="AG162" s="1">
        <v>0</v>
      </c>
      <c r="AH162" s="1">
        <v>0</v>
      </c>
      <c r="AI162" s="1">
        <v>0</v>
      </c>
      <c r="AJ162" s="1">
        <v>0</v>
      </c>
      <c r="AK162" s="1">
        <v>0</v>
      </c>
      <c r="AL162" s="1">
        <v>0</v>
      </c>
      <c r="AM162" s="1">
        <v>0</v>
      </c>
      <c r="AN162" s="1">
        <v>1</v>
      </c>
      <c r="AO162" s="1">
        <v>0</v>
      </c>
      <c r="AP162" s="1">
        <v>0</v>
      </c>
      <c r="AQ162" s="1">
        <v>6</v>
      </c>
      <c r="AR162" s="1">
        <v>6</v>
      </c>
      <c r="AS162" s="1">
        <v>0</v>
      </c>
      <c r="AT162" s="1">
        <v>0</v>
      </c>
      <c r="AU162" s="1">
        <v>6</v>
      </c>
      <c r="AV162" s="1">
        <v>2</v>
      </c>
      <c r="AW162" s="1">
        <v>0</v>
      </c>
      <c r="AX162" s="1">
        <v>0</v>
      </c>
      <c r="AY162" s="1">
        <v>0</v>
      </c>
      <c r="AZ162" s="1">
        <v>0</v>
      </c>
      <c r="BA162" s="1">
        <v>0</v>
      </c>
      <c r="BB162" s="1">
        <v>2</v>
      </c>
      <c r="BC162" s="1">
        <v>6</v>
      </c>
      <c r="BD162" s="1">
        <v>0</v>
      </c>
      <c r="BE162" s="1">
        <v>6</v>
      </c>
      <c r="BF162" s="1">
        <v>0</v>
      </c>
      <c r="BG162" s="1">
        <v>0</v>
      </c>
      <c r="BH162" s="1">
        <v>0</v>
      </c>
      <c r="BI162" s="1">
        <v>2</v>
      </c>
      <c r="BJ162" s="1">
        <v>0</v>
      </c>
      <c r="BK162" s="1">
        <v>15</v>
      </c>
      <c r="BL162" s="1">
        <v>8</v>
      </c>
      <c r="BM162" s="1">
        <v>1.2</v>
      </c>
      <c r="BN162" s="1">
        <v>0</v>
      </c>
      <c r="BO162" s="1">
        <v>0</v>
      </c>
    </row>
    <row r="163" hidden="1" spans="1:67">
      <c r="A163" s="18">
        <v>43731</v>
      </c>
      <c r="B163" s="2">
        <v>43506</v>
      </c>
      <c r="C163" s="18">
        <v>43751</v>
      </c>
      <c r="D163" s="18">
        <f ca="1" t="shared" ref="D163:I163" si="159">C163</f>
        <v>43751</v>
      </c>
      <c r="E163" s="18">
        <v>43752</v>
      </c>
      <c r="F163" s="18">
        <f ca="1" t="shared" si="159"/>
        <v>43752</v>
      </c>
      <c r="G163" s="18">
        <v>43765</v>
      </c>
      <c r="H163" s="18">
        <v>43765</v>
      </c>
      <c r="I163" s="18">
        <f ca="1" t="shared" si="159"/>
        <v>43765</v>
      </c>
      <c r="J163" s="18">
        <f ca="1" t="shared" si="131"/>
        <v>43765</v>
      </c>
      <c r="L163" s="1">
        <v>36.5</v>
      </c>
      <c r="M163" s="1">
        <v>165</v>
      </c>
      <c r="N163" s="1">
        <v>38.2</v>
      </c>
      <c r="O163" s="1">
        <v>5602.4</v>
      </c>
      <c r="P163" s="1">
        <v>0</v>
      </c>
      <c r="Q163" s="1">
        <v>0</v>
      </c>
      <c r="R163" s="1">
        <v>0</v>
      </c>
      <c r="S163" s="1">
        <v>0</v>
      </c>
      <c r="T163" s="1">
        <v>0</v>
      </c>
      <c r="U163" s="1" t="s">
        <v>3329</v>
      </c>
      <c r="V163" s="1" t="s">
        <v>3329</v>
      </c>
      <c r="W163" s="1">
        <v>1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0</v>
      </c>
      <c r="AD163" s="1">
        <v>0</v>
      </c>
      <c r="AE163" s="1">
        <v>0</v>
      </c>
      <c r="AF163" s="1">
        <v>0</v>
      </c>
      <c r="AG163" s="1">
        <v>0</v>
      </c>
      <c r="AH163" s="1">
        <v>0</v>
      </c>
      <c r="AI163" s="1">
        <v>0</v>
      </c>
      <c r="AJ163" s="1">
        <v>0</v>
      </c>
      <c r="AK163" s="1">
        <v>0</v>
      </c>
      <c r="AL163" s="1">
        <v>0</v>
      </c>
      <c r="AM163" s="1">
        <v>0</v>
      </c>
      <c r="AN163" s="1">
        <v>0</v>
      </c>
      <c r="AO163" s="1">
        <v>1</v>
      </c>
      <c r="AP163" s="1">
        <v>0</v>
      </c>
      <c r="AQ163" s="1">
        <v>3</v>
      </c>
      <c r="AR163" s="1">
        <v>0</v>
      </c>
      <c r="AS163" s="1">
        <v>0</v>
      </c>
      <c r="AT163" s="1">
        <v>0</v>
      </c>
      <c r="AU163" s="1">
        <v>0</v>
      </c>
      <c r="AV163" s="1">
        <v>0</v>
      </c>
      <c r="AW163" s="1">
        <v>1</v>
      </c>
      <c r="AX163" s="1">
        <v>0</v>
      </c>
      <c r="AY163" s="1">
        <v>0</v>
      </c>
      <c r="AZ163" s="1">
        <v>0</v>
      </c>
      <c r="BA163" s="1">
        <v>0</v>
      </c>
      <c r="BB163" s="1">
        <v>0</v>
      </c>
      <c r="BC163" s="1">
        <v>0</v>
      </c>
      <c r="BD163" s="1">
        <v>0</v>
      </c>
      <c r="BE163" s="1">
        <v>3</v>
      </c>
      <c r="BF163" s="1">
        <v>0</v>
      </c>
      <c r="BG163" s="1">
        <v>0</v>
      </c>
      <c r="BH163" s="1">
        <v>0</v>
      </c>
      <c r="BI163" s="1">
        <v>0</v>
      </c>
      <c r="BJ163" s="1">
        <v>0</v>
      </c>
      <c r="BK163" s="1">
        <v>0</v>
      </c>
      <c r="BL163" s="1">
        <v>0</v>
      </c>
      <c r="BM163" s="1">
        <v>0</v>
      </c>
      <c r="BN163" s="1">
        <v>0</v>
      </c>
      <c r="BO163" s="1">
        <v>0</v>
      </c>
    </row>
    <row r="164" hidden="1" spans="1:67">
      <c r="A164" s="18">
        <v>43731</v>
      </c>
      <c r="B164" s="2">
        <v>43506</v>
      </c>
      <c r="C164" s="18">
        <v>43751</v>
      </c>
      <c r="D164" s="18">
        <f ca="1" t="shared" ref="D164:I164" si="160">C164</f>
        <v>43751</v>
      </c>
      <c r="E164" s="18">
        <v>43752</v>
      </c>
      <c r="F164" s="18">
        <f ca="1" t="shared" si="160"/>
        <v>43752</v>
      </c>
      <c r="G164" s="18">
        <v>43751</v>
      </c>
      <c r="H164" s="18">
        <v>43765</v>
      </c>
      <c r="I164" s="18">
        <f ca="1" t="shared" si="160"/>
        <v>43765</v>
      </c>
      <c r="J164" s="18">
        <f ca="1" t="shared" si="131"/>
        <v>43765</v>
      </c>
      <c r="L164" s="1">
        <v>36</v>
      </c>
      <c r="M164" s="1" t="s">
        <v>3420</v>
      </c>
      <c r="N164" s="1">
        <v>38.1</v>
      </c>
      <c r="O164" s="1">
        <v>5638.4</v>
      </c>
      <c r="P164" s="1">
        <v>0</v>
      </c>
      <c r="Q164" s="1">
        <v>0</v>
      </c>
      <c r="R164" s="1">
        <v>0</v>
      </c>
      <c r="S164" s="1">
        <v>0</v>
      </c>
      <c r="T164" s="1">
        <v>0</v>
      </c>
      <c r="U164" s="1">
        <v>0</v>
      </c>
      <c r="V164" s="1" t="s">
        <v>3329</v>
      </c>
      <c r="W164" s="1">
        <v>0</v>
      </c>
      <c r="X164" s="1">
        <v>1</v>
      </c>
      <c r="Y164" s="1">
        <v>0</v>
      </c>
      <c r="Z164" s="1">
        <v>0</v>
      </c>
      <c r="AA164" s="1">
        <v>1</v>
      </c>
      <c r="AB164" s="1">
        <v>0</v>
      </c>
      <c r="AC164" s="1">
        <v>0</v>
      </c>
      <c r="AD164" s="1">
        <v>0</v>
      </c>
      <c r="AE164" s="1">
        <v>0</v>
      </c>
      <c r="AF164" s="1">
        <v>0</v>
      </c>
      <c r="AG164" s="1">
        <v>0</v>
      </c>
      <c r="AH164" s="1">
        <v>0</v>
      </c>
      <c r="AI164" s="1">
        <v>0</v>
      </c>
      <c r="AJ164" s="1">
        <v>1</v>
      </c>
      <c r="AK164" s="1">
        <v>0</v>
      </c>
      <c r="AL164" s="1">
        <v>0</v>
      </c>
      <c r="AM164" s="1">
        <v>0</v>
      </c>
      <c r="AN164" s="1">
        <v>0</v>
      </c>
      <c r="AO164" s="1">
        <v>1</v>
      </c>
      <c r="AP164" s="1">
        <v>0</v>
      </c>
      <c r="AQ164" s="1">
        <v>3</v>
      </c>
      <c r="AR164" s="1">
        <v>0</v>
      </c>
      <c r="AS164" s="1">
        <v>0</v>
      </c>
      <c r="AT164" s="1">
        <v>0</v>
      </c>
      <c r="AU164" s="1">
        <v>0</v>
      </c>
      <c r="AV164" s="1">
        <v>0</v>
      </c>
      <c r="AW164" s="1">
        <v>1</v>
      </c>
      <c r="AX164" s="1">
        <v>0</v>
      </c>
      <c r="AY164" s="1">
        <v>0</v>
      </c>
      <c r="AZ164" s="1">
        <v>0</v>
      </c>
      <c r="BA164" s="1">
        <v>0</v>
      </c>
      <c r="BB164" s="1">
        <v>0</v>
      </c>
      <c r="BC164" s="1">
        <v>0</v>
      </c>
      <c r="BD164" s="1">
        <v>0</v>
      </c>
      <c r="BE164" s="1">
        <v>3</v>
      </c>
      <c r="BF164" s="1">
        <v>0</v>
      </c>
      <c r="BG164" s="1">
        <v>0</v>
      </c>
      <c r="BH164" s="1">
        <v>0</v>
      </c>
      <c r="BI164" s="1">
        <v>2</v>
      </c>
      <c r="BJ164" s="1">
        <v>0</v>
      </c>
      <c r="BK164" s="1">
        <v>2</v>
      </c>
      <c r="BL164" s="1">
        <v>4</v>
      </c>
      <c r="BM164" s="1">
        <v>0</v>
      </c>
      <c r="BN164" s="1">
        <v>0</v>
      </c>
      <c r="BO164" s="1">
        <v>0</v>
      </c>
    </row>
    <row r="165" hidden="1" spans="1:67">
      <c r="A165" s="18">
        <v>43731</v>
      </c>
      <c r="B165" s="2">
        <v>43506</v>
      </c>
      <c r="C165" s="18">
        <v>43751</v>
      </c>
      <c r="D165" s="18">
        <f ca="1" t="shared" ref="D165:I165" si="161">C165</f>
        <v>43751</v>
      </c>
      <c r="E165" s="18">
        <v>43752</v>
      </c>
      <c r="F165" s="18">
        <f ca="1" t="shared" si="161"/>
        <v>43752</v>
      </c>
      <c r="G165" s="18">
        <v>43765</v>
      </c>
      <c r="H165" s="18">
        <v>43765</v>
      </c>
      <c r="I165" s="18">
        <f ca="1" t="shared" si="161"/>
        <v>43765</v>
      </c>
      <c r="J165" s="18">
        <f ca="1" t="shared" si="131"/>
        <v>43765</v>
      </c>
      <c r="L165" s="1">
        <v>36.3</v>
      </c>
      <c r="M165" s="1">
        <v>166</v>
      </c>
      <c r="N165" s="1">
        <v>35.1</v>
      </c>
      <c r="O165" s="1">
        <v>5674.7</v>
      </c>
      <c r="P165" s="1">
        <v>0</v>
      </c>
      <c r="Q165" s="1">
        <v>0</v>
      </c>
      <c r="R165" s="1">
        <v>0</v>
      </c>
      <c r="S165" s="1">
        <v>0</v>
      </c>
      <c r="T165" s="1">
        <v>0</v>
      </c>
      <c r="U165" s="1" t="s">
        <v>3329</v>
      </c>
      <c r="V165" s="1" t="s">
        <v>3329</v>
      </c>
      <c r="W165" s="1">
        <v>1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0</v>
      </c>
      <c r="AD165" s="1">
        <v>0</v>
      </c>
      <c r="AE165" s="1">
        <v>0</v>
      </c>
      <c r="AF165" s="1">
        <v>0</v>
      </c>
      <c r="AG165" s="1">
        <v>0</v>
      </c>
      <c r="AH165" s="1">
        <v>0</v>
      </c>
      <c r="AI165" s="1">
        <v>0</v>
      </c>
      <c r="AJ165" s="1">
        <v>0</v>
      </c>
      <c r="AK165" s="1">
        <v>0</v>
      </c>
      <c r="AL165" s="1">
        <v>0</v>
      </c>
      <c r="AM165" s="1">
        <v>0</v>
      </c>
      <c r="AN165" s="1">
        <v>0</v>
      </c>
      <c r="AO165" s="1">
        <v>1</v>
      </c>
      <c r="AP165" s="1">
        <v>0</v>
      </c>
      <c r="AQ165" s="1">
        <v>3</v>
      </c>
      <c r="AR165" s="1">
        <v>0</v>
      </c>
      <c r="AS165" s="1">
        <v>0</v>
      </c>
      <c r="AT165" s="1">
        <v>0</v>
      </c>
      <c r="AU165" s="1">
        <v>0</v>
      </c>
      <c r="AV165" s="1">
        <v>0</v>
      </c>
      <c r="AW165" s="1">
        <v>1</v>
      </c>
      <c r="AX165" s="1">
        <v>0</v>
      </c>
      <c r="AY165" s="1">
        <v>0</v>
      </c>
      <c r="AZ165" s="1">
        <v>0</v>
      </c>
      <c r="BA165" s="1">
        <v>0</v>
      </c>
      <c r="BB165" s="1">
        <v>0</v>
      </c>
      <c r="BC165" s="1">
        <v>0</v>
      </c>
      <c r="BD165" s="1">
        <v>0</v>
      </c>
      <c r="BE165" s="1">
        <v>3</v>
      </c>
      <c r="BF165" s="1">
        <v>0</v>
      </c>
      <c r="BG165" s="1">
        <v>0</v>
      </c>
      <c r="BH165" s="1">
        <v>0</v>
      </c>
      <c r="BI165" s="1">
        <v>0</v>
      </c>
      <c r="BJ165" s="1">
        <v>0</v>
      </c>
      <c r="BK165" s="1">
        <v>0</v>
      </c>
      <c r="BL165" s="1">
        <v>0</v>
      </c>
      <c r="BM165" s="1">
        <v>0</v>
      </c>
      <c r="BN165" s="1">
        <v>0</v>
      </c>
      <c r="BO165" s="1">
        <v>0</v>
      </c>
    </row>
    <row r="166" hidden="1" spans="1:67">
      <c r="A166" s="18">
        <v>43731</v>
      </c>
      <c r="B166" s="2">
        <v>43506</v>
      </c>
      <c r="C166" s="18">
        <v>43751</v>
      </c>
      <c r="D166" s="18">
        <f ca="1" t="shared" ref="D166:I166" si="162">C166</f>
        <v>43751</v>
      </c>
      <c r="E166" s="18">
        <v>43752</v>
      </c>
      <c r="F166" s="18">
        <f ca="1" t="shared" si="162"/>
        <v>43752</v>
      </c>
      <c r="G166" s="18">
        <v>43765</v>
      </c>
      <c r="H166" s="18">
        <v>43765</v>
      </c>
      <c r="I166" s="18">
        <f ca="1" t="shared" si="162"/>
        <v>43765</v>
      </c>
      <c r="J166" s="18">
        <f ca="1" t="shared" si="131"/>
        <v>43765</v>
      </c>
      <c r="L166" s="1">
        <v>38.7</v>
      </c>
      <c r="M166" s="1" t="s">
        <v>3421</v>
      </c>
      <c r="N166" s="1">
        <v>38.6</v>
      </c>
      <c r="O166" s="1">
        <v>5713.4</v>
      </c>
      <c r="P166" s="1">
        <v>5</v>
      </c>
      <c r="Q166" s="1">
        <v>1</v>
      </c>
      <c r="R166" s="1">
        <v>0</v>
      </c>
      <c r="S166" s="1">
        <v>0</v>
      </c>
      <c r="T166" s="1">
        <v>1</v>
      </c>
      <c r="U166" s="1" t="s">
        <v>3347</v>
      </c>
      <c r="V166" s="1" t="s">
        <v>3347</v>
      </c>
      <c r="W166" s="1">
        <v>1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0</v>
      </c>
      <c r="AD166" s="1">
        <v>0</v>
      </c>
      <c r="AE166" s="1">
        <v>0</v>
      </c>
      <c r="AF166" s="1">
        <v>0</v>
      </c>
      <c r="AG166" s="1">
        <v>0</v>
      </c>
      <c r="AH166" s="1">
        <v>0</v>
      </c>
      <c r="AI166" s="1">
        <v>0</v>
      </c>
      <c r="AJ166" s="1">
        <v>0</v>
      </c>
      <c r="AK166" s="1">
        <v>0</v>
      </c>
      <c r="AL166" s="1">
        <v>0</v>
      </c>
      <c r="AM166" s="1">
        <v>0</v>
      </c>
      <c r="AN166" s="1">
        <v>0</v>
      </c>
      <c r="AO166" s="1">
        <v>1</v>
      </c>
      <c r="AP166" s="1">
        <v>0</v>
      </c>
      <c r="AQ166" s="1">
        <v>3</v>
      </c>
      <c r="AR166" s="1">
        <v>0</v>
      </c>
      <c r="AS166" s="1">
        <v>0</v>
      </c>
      <c r="AT166" s="1">
        <v>0</v>
      </c>
      <c r="AU166" s="1">
        <v>0</v>
      </c>
      <c r="AV166" s="1">
        <v>0</v>
      </c>
      <c r="AW166" s="1">
        <v>1</v>
      </c>
      <c r="AX166" s="1">
        <v>1</v>
      </c>
      <c r="AY166" s="1">
        <v>1</v>
      </c>
      <c r="AZ166" s="1">
        <v>2</v>
      </c>
      <c r="BA166" s="1">
        <v>0</v>
      </c>
      <c r="BB166" s="1">
        <v>2</v>
      </c>
      <c r="BC166" s="1">
        <v>0</v>
      </c>
      <c r="BD166" s="1">
        <v>0</v>
      </c>
      <c r="BE166" s="1">
        <v>3</v>
      </c>
      <c r="BF166" s="1">
        <v>0</v>
      </c>
      <c r="BG166" s="1">
        <v>0</v>
      </c>
      <c r="BH166" s="1">
        <v>0</v>
      </c>
      <c r="BI166" s="1">
        <v>0</v>
      </c>
      <c r="BJ166" s="1">
        <v>0</v>
      </c>
      <c r="BK166" s="1">
        <v>0</v>
      </c>
      <c r="BL166" s="1">
        <v>0</v>
      </c>
      <c r="BM166" s="1">
        <v>0</v>
      </c>
      <c r="BN166" s="1" t="s">
        <v>3348</v>
      </c>
      <c r="BO166" s="1">
        <v>0</v>
      </c>
    </row>
    <row r="167" hidden="1" spans="1:67">
      <c r="A167" s="18">
        <v>43731</v>
      </c>
      <c r="B167" s="2">
        <v>43506</v>
      </c>
      <c r="C167" s="18">
        <v>43751</v>
      </c>
      <c r="D167" s="18">
        <f ca="1" t="shared" ref="D167:I167" si="163">C167</f>
        <v>43751</v>
      </c>
      <c r="E167" s="18">
        <v>43752</v>
      </c>
      <c r="F167" s="18">
        <f ca="1" t="shared" si="163"/>
        <v>43752</v>
      </c>
      <c r="G167" s="18">
        <v>43765</v>
      </c>
      <c r="H167" s="18">
        <v>43765</v>
      </c>
      <c r="I167" s="18">
        <f ca="1" t="shared" si="163"/>
        <v>43765</v>
      </c>
      <c r="J167" s="18">
        <f ca="1" t="shared" si="131"/>
        <v>43765</v>
      </c>
      <c r="L167" s="1">
        <v>34.8</v>
      </c>
      <c r="M167" s="1">
        <v>167</v>
      </c>
      <c r="N167" s="1">
        <v>35.5</v>
      </c>
      <c r="O167" s="1">
        <v>5748.2</v>
      </c>
      <c r="P167" s="1">
        <v>0</v>
      </c>
      <c r="Q167" s="1">
        <v>0</v>
      </c>
      <c r="R167" s="1">
        <v>0</v>
      </c>
      <c r="S167" s="1">
        <v>0</v>
      </c>
      <c r="T167" s="1">
        <v>0</v>
      </c>
      <c r="U167" s="1" t="s">
        <v>3327</v>
      </c>
      <c r="V167" s="1" t="s">
        <v>3327</v>
      </c>
      <c r="W167" s="1">
        <v>1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0</v>
      </c>
      <c r="AD167" s="1">
        <v>0</v>
      </c>
      <c r="AE167" s="1">
        <v>1</v>
      </c>
      <c r="AF167" s="1">
        <v>0</v>
      </c>
      <c r="AG167" s="1">
        <v>0</v>
      </c>
      <c r="AH167" s="1">
        <v>0</v>
      </c>
      <c r="AI167" s="1">
        <v>0</v>
      </c>
      <c r="AJ167" s="1">
        <v>0</v>
      </c>
      <c r="AK167" s="1">
        <v>0</v>
      </c>
      <c r="AL167" s="1">
        <v>0</v>
      </c>
      <c r="AM167" s="1">
        <v>0</v>
      </c>
      <c r="AN167" s="1">
        <v>0</v>
      </c>
      <c r="AO167" s="1">
        <v>0</v>
      </c>
      <c r="AP167" s="1">
        <v>1</v>
      </c>
      <c r="AQ167" s="1">
        <v>6</v>
      </c>
      <c r="AR167" s="1">
        <v>0</v>
      </c>
      <c r="AS167" s="1">
        <v>0</v>
      </c>
      <c r="AT167" s="1">
        <v>0</v>
      </c>
      <c r="AU167" s="1">
        <v>0</v>
      </c>
      <c r="AV167" s="1">
        <v>0</v>
      </c>
      <c r="AW167" s="1">
        <v>1</v>
      </c>
      <c r="AX167" s="1">
        <v>0</v>
      </c>
      <c r="AY167" s="1">
        <v>0</v>
      </c>
      <c r="AZ167" s="1">
        <v>0</v>
      </c>
      <c r="BA167" s="1">
        <v>0</v>
      </c>
      <c r="BB167" s="1">
        <v>0</v>
      </c>
      <c r="BC167" s="1">
        <v>0</v>
      </c>
      <c r="BD167" s="1">
        <v>6</v>
      </c>
      <c r="BE167" s="1">
        <v>0</v>
      </c>
      <c r="BF167" s="1">
        <v>0</v>
      </c>
      <c r="BG167" s="1">
        <v>0</v>
      </c>
      <c r="BH167" s="1">
        <v>0</v>
      </c>
      <c r="BI167" s="1">
        <v>0</v>
      </c>
      <c r="BJ167" s="1">
        <v>0</v>
      </c>
      <c r="BK167" s="1">
        <v>0</v>
      </c>
      <c r="BL167" s="1">
        <v>0</v>
      </c>
      <c r="BM167" s="1">
        <v>0</v>
      </c>
      <c r="BN167" s="1">
        <v>0</v>
      </c>
      <c r="BO167" s="1">
        <v>0</v>
      </c>
    </row>
    <row r="168" hidden="1" spans="1:67">
      <c r="A168" s="18">
        <v>43731</v>
      </c>
      <c r="B168" s="2">
        <v>43506</v>
      </c>
      <c r="C168" s="18">
        <v>43751</v>
      </c>
      <c r="D168" s="18">
        <f ca="1" t="shared" ref="D168:I168" si="164">C168</f>
        <v>43751</v>
      </c>
      <c r="E168" s="18">
        <v>43752</v>
      </c>
      <c r="F168" s="18">
        <f ca="1" t="shared" si="164"/>
        <v>43752</v>
      </c>
      <c r="G168" s="18">
        <v>43751</v>
      </c>
      <c r="H168" s="18">
        <v>43765</v>
      </c>
      <c r="I168" s="18">
        <f ca="1" t="shared" si="164"/>
        <v>43765</v>
      </c>
      <c r="J168" s="18">
        <f ca="1" t="shared" si="131"/>
        <v>43765</v>
      </c>
      <c r="L168" s="1">
        <v>38</v>
      </c>
      <c r="M168" s="1" t="s">
        <v>3422</v>
      </c>
      <c r="N168" s="1">
        <v>38.2</v>
      </c>
      <c r="O168" s="1">
        <v>5786.2</v>
      </c>
      <c r="P168" s="1">
        <v>0</v>
      </c>
      <c r="Q168" s="1">
        <v>0</v>
      </c>
      <c r="R168" s="1">
        <v>0</v>
      </c>
      <c r="S168" s="1">
        <v>0</v>
      </c>
      <c r="T168" s="1">
        <v>0</v>
      </c>
      <c r="U168" s="1">
        <v>0</v>
      </c>
      <c r="V168" s="1" t="s">
        <v>3329</v>
      </c>
      <c r="W168" s="1">
        <v>0</v>
      </c>
      <c r="X168" s="1">
        <v>1</v>
      </c>
      <c r="Y168" s="1">
        <v>0</v>
      </c>
      <c r="Z168" s="1">
        <v>0</v>
      </c>
      <c r="AA168" s="1">
        <v>1</v>
      </c>
      <c r="AB168" s="1">
        <v>0</v>
      </c>
      <c r="AC168" s="1">
        <v>0</v>
      </c>
      <c r="AD168" s="1">
        <v>0</v>
      </c>
      <c r="AE168" s="1">
        <v>0</v>
      </c>
      <c r="AF168" s="1">
        <v>0</v>
      </c>
      <c r="AG168" s="1">
        <v>0</v>
      </c>
      <c r="AH168" s="1">
        <v>0</v>
      </c>
      <c r="AI168" s="1">
        <v>0</v>
      </c>
      <c r="AJ168" s="1">
        <v>0</v>
      </c>
      <c r="AK168" s="1">
        <v>0</v>
      </c>
      <c r="AL168" s="1">
        <v>0</v>
      </c>
      <c r="AM168" s="1">
        <v>0</v>
      </c>
      <c r="AN168" s="1">
        <v>0</v>
      </c>
      <c r="AO168" s="1">
        <v>1</v>
      </c>
      <c r="AP168" s="1">
        <v>0</v>
      </c>
      <c r="AQ168" s="1">
        <v>3</v>
      </c>
      <c r="AR168" s="1">
        <v>0</v>
      </c>
      <c r="AS168" s="1">
        <v>0</v>
      </c>
      <c r="AT168" s="1">
        <v>0</v>
      </c>
      <c r="AU168" s="1">
        <v>0</v>
      </c>
      <c r="AV168" s="1">
        <v>0</v>
      </c>
      <c r="AW168" s="1">
        <v>1</v>
      </c>
      <c r="AX168" s="1">
        <v>0</v>
      </c>
      <c r="AY168" s="1">
        <v>0</v>
      </c>
      <c r="AZ168" s="1">
        <v>0</v>
      </c>
      <c r="BA168" s="1">
        <v>0</v>
      </c>
      <c r="BB168" s="1">
        <v>0</v>
      </c>
      <c r="BC168" s="1">
        <v>0</v>
      </c>
      <c r="BD168" s="1">
        <v>0</v>
      </c>
      <c r="BE168" s="1">
        <v>3</v>
      </c>
      <c r="BF168" s="1">
        <v>0</v>
      </c>
      <c r="BG168" s="1">
        <v>0</v>
      </c>
      <c r="BH168" s="1">
        <v>0</v>
      </c>
      <c r="BI168" s="1">
        <v>2</v>
      </c>
      <c r="BJ168" s="1">
        <v>0</v>
      </c>
      <c r="BK168" s="1">
        <v>5</v>
      </c>
      <c r="BL168" s="1">
        <v>4</v>
      </c>
      <c r="BM168" s="1">
        <v>0</v>
      </c>
      <c r="BN168" s="1">
        <v>0</v>
      </c>
      <c r="BO168" s="1">
        <v>0</v>
      </c>
    </row>
    <row r="169" hidden="1" spans="1:67">
      <c r="A169" s="18">
        <v>43732</v>
      </c>
      <c r="B169" s="2">
        <v>43506</v>
      </c>
      <c r="C169" s="18">
        <v>43751</v>
      </c>
      <c r="D169" s="18">
        <f ca="1" t="shared" ref="D169:I169" si="165">C169</f>
        <v>43751</v>
      </c>
      <c r="E169" s="18">
        <v>43752</v>
      </c>
      <c r="F169" s="18">
        <f ca="1" t="shared" si="165"/>
        <v>43752</v>
      </c>
      <c r="G169" s="18">
        <v>43765</v>
      </c>
      <c r="H169" s="18">
        <v>43765</v>
      </c>
      <c r="I169" s="18">
        <f ca="1" t="shared" si="165"/>
        <v>43765</v>
      </c>
      <c r="J169" s="18">
        <f ca="1" t="shared" si="131"/>
        <v>43765</v>
      </c>
      <c r="L169" s="1">
        <v>37.9</v>
      </c>
      <c r="M169" s="1">
        <v>168</v>
      </c>
      <c r="N169" s="1">
        <v>38.4</v>
      </c>
      <c r="O169" s="1">
        <v>5824.1</v>
      </c>
      <c r="P169" s="1">
        <v>28</v>
      </c>
      <c r="Q169" s="1">
        <v>0</v>
      </c>
      <c r="R169" s="1">
        <v>0</v>
      </c>
      <c r="S169" s="1">
        <v>0</v>
      </c>
      <c r="T169" s="1">
        <v>1</v>
      </c>
      <c r="U169" s="1" t="s">
        <v>3347</v>
      </c>
      <c r="V169" s="1" t="s">
        <v>3347</v>
      </c>
      <c r="W169" s="1">
        <v>1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0</v>
      </c>
      <c r="AE169" s="1">
        <v>0</v>
      </c>
      <c r="AF169" s="1">
        <v>0</v>
      </c>
      <c r="AG169" s="1">
        <v>0</v>
      </c>
      <c r="AH169" s="1">
        <v>0</v>
      </c>
      <c r="AI169" s="1">
        <v>0</v>
      </c>
      <c r="AJ169" s="1">
        <v>0</v>
      </c>
      <c r="AK169" s="1">
        <v>0</v>
      </c>
      <c r="AL169" s="1">
        <v>0</v>
      </c>
      <c r="AM169" s="1">
        <v>0</v>
      </c>
      <c r="AN169" s="1">
        <v>0</v>
      </c>
      <c r="AO169" s="1">
        <v>1</v>
      </c>
      <c r="AP169" s="1">
        <v>0</v>
      </c>
      <c r="AQ169" s="1">
        <v>3</v>
      </c>
      <c r="AR169" s="1">
        <v>0</v>
      </c>
      <c r="AS169" s="1">
        <v>0</v>
      </c>
      <c r="AT169" s="1">
        <v>2</v>
      </c>
      <c r="AU169" s="1">
        <v>0</v>
      </c>
      <c r="AV169" s="1">
        <v>0</v>
      </c>
      <c r="AW169" s="1">
        <v>1</v>
      </c>
      <c r="AX169" s="1">
        <v>1</v>
      </c>
      <c r="AY169" s="1">
        <v>1</v>
      </c>
      <c r="AZ169" s="1">
        <v>2</v>
      </c>
      <c r="BA169" s="1">
        <v>0</v>
      </c>
      <c r="BB169" s="1">
        <v>2</v>
      </c>
      <c r="BC169" s="1">
        <v>0</v>
      </c>
      <c r="BD169" s="1">
        <v>0</v>
      </c>
      <c r="BE169" s="1">
        <v>3</v>
      </c>
      <c r="BF169" s="1">
        <v>0</v>
      </c>
      <c r="BG169" s="1">
        <v>0</v>
      </c>
      <c r="BH169" s="1">
        <v>0</v>
      </c>
      <c r="BI169" s="1">
        <v>0</v>
      </c>
      <c r="BJ169" s="1">
        <v>0</v>
      </c>
      <c r="BK169" s="1">
        <v>0</v>
      </c>
      <c r="BL169" s="1">
        <v>0</v>
      </c>
      <c r="BM169" s="1">
        <v>0</v>
      </c>
      <c r="BN169" s="1">
        <v>0</v>
      </c>
      <c r="BO169" s="1">
        <v>0</v>
      </c>
    </row>
    <row r="170" hidden="1" spans="1:67">
      <c r="A170" s="18">
        <v>43732</v>
      </c>
      <c r="B170" s="2">
        <v>43506</v>
      </c>
      <c r="C170" s="18">
        <v>43751</v>
      </c>
      <c r="D170" s="18">
        <f ca="1" t="shared" ref="D170:I170" si="166">C170</f>
        <v>43751</v>
      </c>
      <c r="E170" s="18">
        <v>43752</v>
      </c>
      <c r="F170" s="18">
        <f ca="1" t="shared" si="166"/>
        <v>43752</v>
      </c>
      <c r="G170" s="18">
        <v>43751</v>
      </c>
      <c r="H170" s="18">
        <v>43765</v>
      </c>
      <c r="I170" s="18">
        <f ca="1" t="shared" si="166"/>
        <v>43765</v>
      </c>
      <c r="J170" s="18">
        <f ca="1" t="shared" si="131"/>
        <v>43765</v>
      </c>
      <c r="L170" s="1">
        <v>35</v>
      </c>
      <c r="M170" s="1" t="s">
        <v>3423</v>
      </c>
      <c r="N170" s="1">
        <v>33.4</v>
      </c>
      <c r="O170" s="1">
        <v>5859.1</v>
      </c>
      <c r="P170" s="1">
        <v>0</v>
      </c>
      <c r="Q170" s="1">
        <v>0</v>
      </c>
      <c r="R170" s="1">
        <v>0</v>
      </c>
      <c r="S170" s="1">
        <v>0</v>
      </c>
      <c r="T170" s="1">
        <v>0</v>
      </c>
      <c r="U170" s="1">
        <v>0</v>
      </c>
      <c r="V170" s="1" t="s">
        <v>3329</v>
      </c>
      <c r="W170" s="1">
        <v>0</v>
      </c>
      <c r="X170" s="1">
        <v>1</v>
      </c>
      <c r="Y170" s="1">
        <v>0</v>
      </c>
      <c r="Z170" s="1">
        <v>1</v>
      </c>
      <c r="AA170" s="1">
        <v>0</v>
      </c>
      <c r="AB170" s="1">
        <v>0</v>
      </c>
      <c r="AC170" s="1">
        <v>0</v>
      </c>
      <c r="AD170" s="1">
        <v>0</v>
      </c>
      <c r="AE170" s="1">
        <v>0</v>
      </c>
      <c r="AF170" s="1">
        <v>0</v>
      </c>
      <c r="AG170" s="1">
        <v>0</v>
      </c>
      <c r="AH170" s="1">
        <v>0</v>
      </c>
      <c r="AI170" s="1">
        <v>0</v>
      </c>
      <c r="AJ170" s="1">
        <v>1</v>
      </c>
      <c r="AK170" s="1">
        <v>0</v>
      </c>
      <c r="AL170" s="1">
        <v>0</v>
      </c>
      <c r="AM170" s="1">
        <v>0</v>
      </c>
      <c r="AN170" s="1">
        <v>0</v>
      </c>
      <c r="AO170" s="1">
        <v>1</v>
      </c>
      <c r="AP170" s="1">
        <v>0</v>
      </c>
      <c r="AQ170" s="1">
        <v>3</v>
      </c>
      <c r="AR170" s="1">
        <v>0</v>
      </c>
      <c r="AS170" s="1">
        <v>0</v>
      </c>
      <c r="AT170" s="1">
        <v>0</v>
      </c>
      <c r="AU170" s="1">
        <v>0</v>
      </c>
      <c r="AV170" s="1">
        <v>0</v>
      </c>
      <c r="AW170" s="1">
        <v>1</v>
      </c>
      <c r="AX170" s="1">
        <v>0</v>
      </c>
      <c r="AY170" s="1">
        <v>0</v>
      </c>
      <c r="AZ170" s="1">
        <v>0</v>
      </c>
      <c r="BA170" s="1">
        <v>0</v>
      </c>
      <c r="BB170" s="1">
        <v>0</v>
      </c>
      <c r="BC170" s="1">
        <v>0</v>
      </c>
      <c r="BD170" s="1">
        <v>0</v>
      </c>
      <c r="BE170" s="1">
        <v>3</v>
      </c>
      <c r="BF170" s="1">
        <v>0</v>
      </c>
      <c r="BG170" s="1">
        <v>0</v>
      </c>
      <c r="BH170" s="1">
        <v>0</v>
      </c>
      <c r="BI170" s="1">
        <v>2</v>
      </c>
      <c r="BJ170" s="1">
        <v>0</v>
      </c>
      <c r="BK170" s="1">
        <v>3</v>
      </c>
      <c r="BL170" s="1">
        <v>4</v>
      </c>
      <c r="BM170" s="1">
        <v>0</v>
      </c>
      <c r="BN170" s="1">
        <v>0</v>
      </c>
      <c r="BO170" s="1">
        <v>0</v>
      </c>
    </row>
    <row r="171" hidden="1" spans="1:67">
      <c r="A171" s="18">
        <v>43732</v>
      </c>
      <c r="B171" s="2">
        <v>43506</v>
      </c>
      <c r="C171" s="18">
        <v>43751</v>
      </c>
      <c r="D171" s="18">
        <f ca="1" t="shared" ref="D171:I171" si="167">C171</f>
        <v>43751</v>
      </c>
      <c r="E171" s="18">
        <v>43752</v>
      </c>
      <c r="F171" s="18">
        <f ca="1" t="shared" si="167"/>
        <v>43752</v>
      </c>
      <c r="G171" s="18">
        <v>43751</v>
      </c>
      <c r="H171" s="18">
        <v>43765</v>
      </c>
      <c r="I171" s="18">
        <f ca="1" t="shared" si="167"/>
        <v>43765</v>
      </c>
      <c r="J171" s="18">
        <f ca="1" t="shared" si="131"/>
        <v>43765</v>
      </c>
      <c r="L171" s="1">
        <v>34.1</v>
      </c>
      <c r="M171" s="1">
        <v>169</v>
      </c>
      <c r="N171" s="1">
        <v>41.1</v>
      </c>
      <c r="O171" s="1">
        <v>5893.2</v>
      </c>
      <c r="P171" s="1">
        <v>0</v>
      </c>
      <c r="Q171" s="1">
        <v>0</v>
      </c>
      <c r="R171" s="1">
        <v>0</v>
      </c>
      <c r="S171" s="1">
        <v>0</v>
      </c>
      <c r="T171" s="1">
        <v>5</v>
      </c>
      <c r="U171" s="1" t="s">
        <v>3329</v>
      </c>
      <c r="V171" s="1" t="s">
        <v>3329</v>
      </c>
      <c r="W171" s="1">
        <v>1</v>
      </c>
      <c r="X171" s="1">
        <v>0</v>
      </c>
      <c r="Y171" s="1">
        <v>1</v>
      </c>
      <c r="Z171" s="1">
        <v>0</v>
      </c>
      <c r="AA171" s="1">
        <v>0</v>
      </c>
      <c r="AB171" s="1">
        <v>0</v>
      </c>
      <c r="AC171" s="1">
        <v>1</v>
      </c>
      <c r="AD171" s="1">
        <v>0</v>
      </c>
      <c r="AE171" s="1">
        <v>0</v>
      </c>
      <c r="AF171" s="1">
        <v>0</v>
      </c>
      <c r="AG171" s="1">
        <v>0</v>
      </c>
      <c r="AH171" s="1">
        <v>0</v>
      </c>
      <c r="AI171" s="1">
        <v>0</v>
      </c>
      <c r="AJ171" s="1">
        <v>0</v>
      </c>
      <c r="AK171" s="1">
        <v>0</v>
      </c>
      <c r="AL171" s="1">
        <v>1</v>
      </c>
      <c r="AM171" s="1">
        <v>0</v>
      </c>
      <c r="AN171" s="1">
        <v>0</v>
      </c>
      <c r="AO171" s="1">
        <v>1</v>
      </c>
      <c r="AP171" s="1">
        <v>0</v>
      </c>
      <c r="AQ171" s="1">
        <v>3</v>
      </c>
      <c r="AR171" s="1">
        <v>0</v>
      </c>
      <c r="AS171" s="1">
        <v>0</v>
      </c>
      <c r="AT171" s="1">
        <v>0</v>
      </c>
      <c r="AU171" s="1">
        <v>0</v>
      </c>
      <c r="AV171" s="1">
        <v>0</v>
      </c>
      <c r="AW171" s="1">
        <v>1</v>
      </c>
      <c r="AX171" s="1">
        <v>1</v>
      </c>
      <c r="AY171" s="1">
        <v>1</v>
      </c>
      <c r="AZ171" s="1">
        <v>0</v>
      </c>
      <c r="BA171" s="1">
        <v>0</v>
      </c>
      <c r="BB171" s="1">
        <v>2</v>
      </c>
      <c r="BC171" s="1">
        <v>0</v>
      </c>
      <c r="BD171" s="1">
        <v>0</v>
      </c>
      <c r="BE171" s="1">
        <v>3</v>
      </c>
      <c r="BF171" s="1">
        <v>0</v>
      </c>
      <c r="BG171" s="1">
        <v>0</v>
      </c>
      <c r="BH171" s="1">
        <v>0</v>
      </c>
      <c r="BI171" s="1">
        <v>0</v>
      </c>
      <c r="BJ171" s="1">
        <v>0</v>
      </c>
      <c r="BK171" s="1">
        <v>0</v>
      </c>
      <c r="BL171" s="1">
        <v>0</v>
      </c>
      <c r="BM171" s="1">
        <v>0</v>
      </c>
      <c r="BN171" s="1" t="s">
        <v>3341</v>
      </c>
      <c r="BO171" s="1">
        <v>0</v>
      </c>
    </row>
    <row r="172" hidden="1" spans="1:67">
      <c r="A172" s="18">
        <v>43732</v>
      </c>
      <c r="B172" s="2">
        <v>43506</v>
      </c>
      <c r="C172" s="18">
        <v>43751</v>
      </c>
      <c r="D172" s="18">
        <f ca="1" t="shared" ref="D172:I172" si="168">C172</f>
        <v>43751</v>
      </c>
      <c r="E172" s="18">
        <v>43752</v>
      </c>
      <c r="F172" s="18">
        <f ca="1" t="shared" si="168"/>
        <v>43752</v>
      </c>
      <c r="G172" s="18">
        <v>43751</v>
      </c>
      <c r="H172" s="18">
        <v>43765</v>
      </c>
      <c r="I172" s="18">
        <f ca="1" t="shared" si="168"/>
        <v>43765</v>
      </c>
      <c r="J172" s="18">
        <f ca="1" t="shared" si="131"/>
        <v>43765</v>
      </c>
      <c r="L172" s="1">
        <v>36</v>
      </c>
      <c r="M172" s="1" t="s">
        <v>3424</v>
      </c>
      <c r="N172" s="1">
        <v>35.2</v>
      </c>
      <c r="O172" s="1">
        <v>5929.2</v>
      </c>
      <c r="P172" s="1">
        <v>0</v>
      </c>
      <c r="Q172" s="1">
        <v>0</v>
      </c>
      <c r="R172" s="1">
        <v>0</v>
      </c>
      <c r="S172" s="1">
        <v>0</v>
      </c>
      <c r="T172" s="1">
        <v>0</v>
      </c>
      <c r="U172" s="1">
        <v>0</v>
      </c>
      <c r="V172" s="1" t="s">
        <v>3329</v>
      </c>
      <c r="W172" s="1">
        <v>0</v>
      </c>
      <c r="X172" s="1">
        <v>1</v>
      </c>
      <c r="Y172" s="1">
        <v>0</v>
      </c>
      <c r="Z172" s="1">
        <v>0</v>
      </c>
      <c r="AA172" s="1">
        <v>1</v>
      </c>
      <c r="AB172" s="1">
        <v>0</v>
      </c>
      <c r="AC172" s="1">
        <v>0</v>
      </c>
      <c r="AD172" s="1">
        <v>0</v>
      </c>
      <c r="AE172" s="1">
        <v>0</v>
      </c>
      <c r="AF172" s="1">
        <v>0</v>
      </c>
      <c r="AG172" s="1">
        <v>0</v>
      </c>
      <c r="AH172" s="1">
        <v>0</v>
      </c>
      <c r="AI172" s="1">
        <v>0</v>
      </c>
      <c r="AJ172" s="1">
        <v>0</v>
      </c>
      <c r="AK172" s="1">
        <v>0</v>
      </c>
      <c r="AL172" s="1">
        <v>0</v>
      </c>
      <c r="AM172" s="1">
        <v>0</v>
      </c>
      <c r="AN172" s="1">
        <v>0</v>
      </c>
      <c r="AO172" s="1">
        <v>1</v>
      </c>
      <c r="AP172" s="1">
        <v>0</v>
      </c>
      <c r="AQ172" s="1">
        <v>3</v>
      </c>
      <c r="AR172" s="1">
        <v>0</v>
      </c>
      <c r="AS172" s="1">
        <v>0</v>
      </c>
      <c r="AT172" s="1">
        <v>0</v>
      </c>
      <c r="AU172" s="1">
        <v>0</v>
      </c>
      <c r="AV172" s="1">
        <v>0</v>
      </c>
      <c r="AW172" s="1">
        <v>1</v>
      </c>
      <c r="AX172" s="1">
        <v>0</v>
      </c>
      <c r="AY172" s="1">
        <v>0</v>
      </c>
      <c r="AZ172" s="1">
        <v>0</v>
      </c>
      <c r="BA172" s="1">
        <v>0</v>
      </c>
      <c r="BB172" s="1">
        <v>0</v>
      </c>
      <c r="BC172" s="1">
        <v>0</v>
      </c>
      <c r="BD172" s="1">
        <v>0</v>
      </c>
      <c r="BE172" s="1">
        <v>3</v>
      </c>
      <c r="BF172" s="1">
        <v>0</v>
      </c>
      <c r="BG172" s="1">
        <v>0</v>
      </c>
      <c r="BH172" s="1">
        <v>0</v>
      </c>
      <c r="BI172" s="1">
        <v>2</v>
      </c>
      <c r="BJ172" s="1">
        <v>0</v>
      </c>
      <c r="BK172" s="1">
        <v>3</v>
      </c>
      <c r="BL172" s="1">
        <v>0</v>
      </c>
      <c r="BM172" s="1">
        <v>0</v>
      </c>
      <c r="BN172" s="1">
        <v>0</v>
      </c>
      <c r="BO172" s="1">
        <v>0</v>
      </c>
    </row>
    <row r="173" hidden="1" spans="1:67">
      <c r="A173" s="18">
        <v>43732</v>
      </c>
      <c r="B173" s="2">
        <v>43506</v>
      </c>
      <c r="C173" s="18">
        <v>43751</v>
      </c>
      <c r="D173" s="18">
        <f ca="1" t="shared" ref="D173:I173" si="169">C173</f>
        <v>43751</v>
      </c>
      <c r="E173" s="18">
        <v>43752</v>
      </c>
      <c r="F173" s="18">
        <f ca="1" t="shared" si="169"/>
        <v>43752</v>
      </c>
      <c r="G173" s="18">
        <v>43765</v>
      </c>
      <c r="H173" s="18">
        <v>43765</v>
      </c>
      <c r="I173" s="18">
        <f ca="1" t="shared" si="169"/>
        <v>43765</v>
      </c>
      <c r="J173" s="18">
        <f ca="1" t="shared" si="131"/>
        <v>43765</v>
      </c>
      <c r="L173" s="1">
        <v>36</v>
      </c>
      <c r="M173" s="1">
        <v>170</v>
      </c>
      <c r="N173" s="1">
        <v>39.1</v>
      </c>
      <c r="O173" s="1">
        <v>5965.2</v>
      </c>
      <c r="P173" s="1">
        <v>0</v>
      </c>
      <c r="Q173" s="1">
        <v>0</v>
      </c>
      <c r="R173" s="1">
        <v>0</v>
      </c>
      <c r="S173" s="1">
        <v>0</v>
      </c>
      <c r="T173" s="1">
        <v>0</v>
      </c>
      <c r="U173" s="1" t="s">
        <v>3329</v>
      </c>
      <c r="V173" s="1" t="s">
        <v>3329</v>
      </c>
      <c r="W173" s="1">
        <v>1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0</v>
      </c>
      <c r="AD173" s="1">
        <v>0</v>
      </c>
      <c r="AE173" s="1">
        <v>0</v>
      </c>
      <c r="AF173" s="1">
        <v>0</v>
      </c>
      <c r="AG173" s="1">
        <v>0</v>
      </c>
      <c r="AH173" s="1">
        <v>0</v>
      </c>
      <c r="AI173" s="1">
        <v>0</v>
      </c>
      <c r="AJ173" s="1">
        <v>0</v>
      </c>
      <c r="AK173" s="1">
        <v>0</v>
      </c>
      <c r="AL173" s="1">
        <v>1</v>
      </c>
      <c r="AM173" s="1">
        <v>0</v>
      </c>
      <c r="AN173" s="1">
        <v>0</v>
      </c>
      <c r="AO173" s="1">
        <v>1</v>
      </c>
      <c r="AP173" s="1">
        <v>0</v>
      </c>
      <c r="AQ173" s="1">
        <v>3</v>
      </c>
      <c r="AR173" s="1">
        <v>0</v>
      </c>
      <c r="AS173" s="1">
        <v>0</v>
      </c>
      <c r="AT173" s="1">
        <v>0</v>
      </c>
      <c r="AU173" s="1">
        <v>0</v>
      </c>
      <c r="AV173" s="1">
        <v>0</v>
      </c>
      <c r="AW173" s="1">
        <v>1</v>
      </c>
      <c r="AX173" s="1">
        <v>3</v>
      </c>
      <c r="AY173" s="1">
        <v>3</v>
      </c>
      <c r="AZ173" s="1">
        <v>0</v>
      </c>
      <c r="BA173" s="1">
        <v>0</v>
      </c>
      <c r="BB173" s="1">
        <v>2</v>
      </c>
      <c r="BC173" s="1">
        <v>0</v>
      </c>
      <c r="BD173" s="1">
        <v>0</v>
      </c>
      <c r="BE173" s="1">
        <v>3</v>
      </c>
      <c r="BF173" s="1">
        <v>0</v>
      </c>
      <c r="BG173" s="1">
        <v>0</v>
      </c>
      <c r="BH173" s="1">
        <v>0</v>
      </c>
      <c r="BI173" s="1">
        <v>0</v>
      </c>
      <c r="BJ173" s="1">
        <v>0</v>
      </c>
      <c r="BK173" s="1">
        <v>0</v>
      </c>
      <c r="BL173" s="1">
        <v>0</v>
      </c>
      <c r="BM173" s="1">
        <v>0</v>
      </c>
      <c r="BN173" s="1" t="s">
        <v>3425</v>
      </c>
      <c r="BO173" s="1">
        <v>0</v>
      </c>
    </row>
    <row r="174" hidden="1" spans="1:67">
      <c r="A174" s="18">
        <v>43732</v>
      </c>
      <c r="B174" s="2">
        <v>43506</v>
      </c>
      <c r="C174" s="18">
        <v>43751</v>
      </c>
      <c r="D174" s="18">
        <f ca="1" t="shared" ref="D174:I174" si="170">C174</f>
        <v>43751</v>
      </c>
      <c r="E174" s="18">
        <v>43752</v>
      </c>
      <c r="F174" s="18">
        <f ca="1" t="shared" si="170"/>
        <v>43752</v>
      </c>
      <c r="G174" s="18">
        <v>43751</v>
      </c>
      <c r="H174" s="18">
        <v>43765</v>
      </c>
      <c r="I174" s="18">
        <f ca="1" t="shared" si="170"/>
        <v>43765</v>
      </c>
      <c r="J174" s="18">
        <f ca="1" t="shared" si="131"/>
        <v>43765</v>
      </c>
      <c r="L174" s="1">
        <v>37</v>
      </c>
      <c r="M174" s="1" t="s">
        <v>3426</v>
      </c>
      <c r="N174" s="1">
        <v>45.3</v>
      </c>
      <c r="O174" s="1">
        <v>6002.2</v>
      </c>
      <c r="P174" s="1">
        <v>0</v>
      </c>
      <c r="Q174" s="1">
        <v>0</v>
      </c>
      <c r="R174" s="1">
        <v>0</v>
      </c>
      <c r="S174" s="1">
        <v>0</v>
      </c>
      <c r="T174" s="1">
        <v>0</v>
      </c>
      <c r="U174" s="1">
        <v>0</v>
      </c>
      <c r="V174" s="1" t="s">
        <v>3329</v>
      </c>
      <c r="W174" s="1">
        <v>0</v>
      </c>
      <c r="X174" s="1">
        <v>1</v>
      </c>
      <c r="Y174" s="1">
        <v>0</v>
      </c>
      <c r="Z174" s="1">
        <v>0</v>
      </c>
      <c r="AA174" s="1">
        <v>1</v>
      </c>
      <c r="AB174" s="1">
        <v>0</v>
      </c>
      <c r="AC174" s="1">
        <v>0</v>
      </c>
      <c r="AD174" s="1">
        <v>0</v>
      </c>
      <c r="AE174" s="1">
        <v>0</v>
      </c>
      <c r="AF174" s="1">
        <v>0</v>
      </c>
      <c r="AG174" s="1">
        <v>0</v>
      </c>
      <c r="AH174" s="1">
        <v>0</v>
      </c>
      <c r="AI174" s="1">
        <v>0</v>
      </c>
      <c r="AJ174" s="1">
        <v>0</v>
      </c>
      <c r="AK174" s="1">
        <v>0</v>
      </c>
      <c r="AL174" s="1">
        <v>0</v>
      </c>
      <c r="AM174" s="1">
        <v>0</v>
      </c>
      <c r="AN174" s="1">
        <v>0</v>
      </c>
      <c r="AO174" s="1">
        <v>1</v>
      </c>
      <c r="AP174" s="1">
        <v>0</v>
      </c>
      <c r="AQ174" s="1">
        <v>3</v>
      </c>
      <c r="AR174" s="1">
        <v>0</v>
      </c>
      <c r="AS174" s="1">
        <v>0</v>
      </c>
      <c r="AT174" s="1">
        <v>0</v>
      </c>
      <c r="AU174" s="1">
        <v>0</v>
      </c>
      <c r="AV174" s="1">
        <v>0</v>
      </c>
      <c r="AW174" s="1">
        <v>1</v>
      </c>
      <c r="AX174" s="1">
        <v>0</v>
      </c>
      <c r="AY174" s="1">
        <v>0</v>
      </c>
      <c r="AZ174" s="1">
        <v>0</v>
      </c>
      <c r="BA174" s="1">
        <v>0</v>
      </c>
      <c r="BB174" s="1">
        <v>0</v>
      </c>
      <c r="BC174" s="1">
        <v>0</v>
      </c>
      <c r="BD174" s="1">
        <v>0</v>
      </c>
      <c r="BE174" s="1">
        <v>3</v>
      </c>
      <c r="BF174" s="1">
        <v>0</v>
      </c>
      <c r="BG174" s="1">
        <v>0</v>
      </c>
      <c r="BH174" s="1">
        <v>0</v>
      </c>
      <c r="BI174" s="1">
        <v>2</v>
      </c>
      <c r="BJ174" s="1">
        <v>0</v>
      </c>
      <c r="BK174" s="1">
        <v>2</v>
      </c>
      <c r="BL174" s="1">
        <v>4</v>
      </c>
      <c r="BM174" s="1">
        <v>0</v>
      </c>
      <c r="BN174" s="1">
        <v>0</v>
      </c>
      <c r="BO174" s="1">
        <v>0</v>
      </c>
    </row>
    <row r="175" hidden="1" spans="1:67">
      <c r="A175" s="18">
        <v>43733</v>
      </c>
      <c r="B175" s="2">
        <v>43506</v>
      </c>
      <c r="C175" s="18">
        <v>43751</v>
      </c>
      <c r="D175" s="18">
        <f ca="1" t="shared" ref="D175:I175" si="171">C175</f>
        <v>43751</v>
      </c>
      <c r="E175" s="18">
        <v>43752</v>
      </c>
      <c r="F175" s="18">
        <f ca="1" t="shared" si="171"/>
        <v>43752</v>
      </c>
      <c r="G175" s="18">
        <v>43751</v>
      </c>
      <c r="H175" s="18">
        <v>43765</v>
      </c>
      <c r="I175" s="18">
        <f ca="1" t="shared" si="171"/>
        <v>43765</v>
      </c>
      <c r="J175" s="18">
        <f ca="1" t="shared" si="131"/>
        <v>43765</v>
      </c>
      <c r="L175" s="1">
        <v>38</v>
      </c>
      <c r="M175" s="1">
        <v>171</v>
      </c>
      <c r="N175" s="1">
        <v>35.4</v>
      </c>
      <c r="O175" s="1">
        <v>6040.2</v>
      </c>
      <c r="P175" s="1">
        <v>0</v>
      </c>
      <c r="Q175" s="1">
        <v>0</v>
      </c>
      <c r="R175" s="1">
        <v>0</v>
      </c>
      <c r="S175" s="1">
        <v>0</v>
      </c>
      <c r="T175" s="1">
        <v>0</v>
      </c>
      <c r="U175" s="1" t="s">
        <v>3324</v>
      </c>
      <c r="V175" s="1" t="s">
        <v>3324</v>
      </c>
      <c r="W175" s="1">
        <v>0</v>
      </c>
      <c r="X175" s="1">
        <v>0</v>
      </c>
      <c r="Y175" s="1">
        <v>1</v>
      </c>
      <c r="Z175" s="1">
        <v>0</v>
      </c>
      <c r="AA175" s="1">
        <v>0</v>
      </c>
      <c r="AB175" s="1">
        <v>0</v>
      </c>
      <c r="AC175" s="1">
        <v>1</v>
      </c>
      <c r="AD175" s="1">
        <v>0</v>
      </c>
      <c r="AE175" s="1">
        <v>0</v>
      </c>
      <c r="AF175" s="1">
        <v>0</v>
      </c>
      <c r="AG175" s="1">
        <v>2</v>
      </c>
      <c r="AH175" s="1">
        <v>0</v>
      </c>
      <c r="AI175" s="1">
        <v>2</v>
      </c>
      <c r="AJ175" s="1">
        <v>0</v>
      </c>
      <c r="AK175" s="1">
        <v>0</v>
      </c>
      <c r="AL175" s="1">
        <v>0</v>
      </c>
      <c r="AM175" s="1">
        <v>1</v>
      </c>
      <c r="AN175" s="1">
        <v>0</v>
      </c>
      <c r="AO175" s="1">
        <v>0</v>
      </c>
      <c r="AP175" s="1">
        <v>0</v>
      </c>
      <c r="AQ175" s="1">
        <v>6</v>
      </c>
      <c r="AR175" s="1">
        <v>6</v>
      </c>
      <c r="AS175" s="1">
        <v>0</v>
      </c>
      <c r="AT175" s="1">
        <v>0</v>
      </c>
      <c r="AU175" s="1">
        <v>6</v>
      </c>
      <c r="AV175" s="1">
        <v>2</v>
      </c>
      <c r="AW175" s="1">
        <v>0</v>
      </c>
      <c r="AX175" s="1">
        <v>0</v>
      </c>
      <c r="AY175" s="1">
        <v>0</v>
      </c>
      <c r="AZ175" s="1">
        <v>0</v>
      </c>
      <c r="BA175" s="1">
        <v>0</v>
      </c>
      <c r="BB175" s="1">
        <v>2</v>
      </c>
      <c r="BC175" s="1">
        <v>6</v>
      </c>
      <c r="BD175" s="1">
        <v>0</v>
      </c>
      <c r="BE175" s="1">
        <v>6</v>
      </c>
      <c r="BF175" s="1">
        <v>0</v>
      </c>
      <c r="BG175" s="1">
        <v>0</v>
      </c>
      <c r="BH175" s="1">
        <v>0</v>
      </c>
      <c r="BI175" s="1">
        <v>0</v>
      </c>
      <c r="BJ175" s="1">
        <v>0</v>
      </c>
      <c r="BK175" s="1">
        <v>0</v>
      </c>
      <c r="BL175" s="1">
        <v>0</v>
      </c>
      <c r="BM175" s="1">
        <v>1.2</v>
      </c>
      <c r="BN175" s="1">
        <v>0</v>
      </c>
      <c r="BO175" s="1">
        <v>0</v>
      </c>
    </row>
    <row r="176" hidden="1" spans="1:67">
      <c r="A176" s="18">
        <v>43733</v>
      </c>
      <c r="B176" s="2">
        <v>43506</v>
      </c>
      <c r="C176" s="18">
        <v>43751</v>
      </c>
      <c r="D176" s="18">
        <f ca="1" t="shared" ref="D176:I176" si="172">C176</f>
        <v>43751</v>
      </c>
      <c r="E176" s="18">
        <v>43752</v>
      </c>
      <c r="F176" s="18">
        <f ca="1" t="shared" si="172"/>
        <v>43752</v>
      </c>
      <c r="G176" s="18">
        <v>43751</v>
      </c>
      <c r="H176" s="18">
        <v>43765</v>
      </c>
      <c r="I176" s="18">
        <f ca="1" t="shared" si="172"/>
        <v>43765</v>
      </c>
      <c r="J176" s="18">
        <f ca="1" t="shared" si="131"/>
        <v>43765</v>
      </c>
      <c r="L176" s="1">
        <v>46</v>
      </c>
      <c r="M176" s="1" t="s">
        <v>3427</v>
      </c>
      <c r="N176" s="1">
        <v>42.1</v>
      </c>
      <c r="O176" s="1">
        <v>6086.2</v>
      </c>
      <c r="P176" s="1">
        <v>0</v>
      </c>
      <c r="Q176" s="1">
        <v>0</v>
      </c>
      <c r="R176" s="1">
        <v>0</v>
      </c>
      <c r="S176" s="1">
        <v>0</v>
      </c>
      <c r="T176" s="1">
        <v>0</v>
      </c>
      <c r="U176" s="1">
        <v>0</v>
      </c>
      <c r="V176" s="1" t="s">
        <v>3327</v>
      </c>
      <c r="W176" s="1">
        <v>0</v>
      </c>
      <c r="X176" s="1">
        <v>0</v>
      </c>
      <c r="Y176" s="1">
        <v>1</v>
      </c>
      <c r="Z176" s="1">
        <v>0</v>
      </c>
      <c r="AA176" s="1">
        <v>0</v>
      </c>
      <c r="AB176" s="1">
        <v>0</v>
      </c>
      <c r="AC176" s="1">
        <v>1</v>
      </c>
      <c r="AD176" s="1">
        <v>0</v>
      </c>
      <c r="AE176" s="1">
        <v>0</v>
      </c>
      <c r="AF176" s="1">
        <v>1</v>
      </c>
      <c r="AG176" s="1">
        <v>0</v>
      </c>
      <c r="AH176" s="1">
        <v>0</v>
      </c>
      <c r="AI176" s="1">
        <v>1</v>
      </c>
      <c r="AJ176" s="1">
        <v>1</v>
      </c>
      <c r="AK176" s="1">
        <v>0</v>
      </c>
      <c r="AL176" s="1">
        <v>0</v>
      </c>
      <c r="AM176" s="1">
        <v>0</v>
      </c>
      <c r="AN176" s="1">
        <v>0</v>
      </c>
      <c r="AO176" s="1">
        <v>0</v>
      </c>
      <c r="AP176" s="1">
        <v>1</v>
      </c>
      <c r="AQ176" s="1">
        <v>6</v>
      </c>
      <c r="AR176" s="1">
        <v>0</v>
      </c>
      <c r="AS176" s="1">
        <v>0</v>
      </c>
      <c r="AT176" s="1">
        <v>0</v>
      </c>
      <c r="AU176" s="1">
        <v>0</v>
      </c>
      <c r="AV176" s="1">
        <v>0</v>
      </c>
      <c r="AW176" s="1">
        <v>1</v>
      </c>
      <c r="AX176" s="1">
        <v>0</v>
      </c>
      <c r="AY176" s="1">
        <v>0</v>
      </c>
      <c r="AZ176" s="1">
        <v>0</v>
      </c>
      <c r="BA176" s="1">
        <v>0</v>
      </c>
      <c r="BB176" s="1">
        <v>0</v>
      </c>
      <c r="BC176" s="1">
        <v>0</v>
      </c>
      <c r="BD176" s="1">
        <v>6</v>
      </c>
      <c r="BE176" s="1">
        <v>0</v>
      </c>
      <c r="BF176" s="1">
        <v>0</v>
      </c>
      <c r="BG176" s="1">
        <v>0</v>
      </c>
      <c r="BH176" s="1">
        <v>0</v>
      </c>
      <c r="BI176" s="1">
        <v>0</v>
      </c>
      <c r="BJ176" s="1">
        <v>0</v>
      </c>
      <c r="BK176" s="1">
        <v>0</v>
      </c>
      <c r="BL176" s="1">
        <v>0</v>
      </c>
      <c r="BM176" s="1">
        <v>0</v>
      </c>
      <c r="BN176" s="1">
        <v>0</v>
      </c>
      <c r="BO176" s="1">
        <v>0</v>
      </c>
    </row>
    <row r="177" hidden="1" spans="1:67">
      <c r="A177" s="18">
        <v>43733</v>
      </c>
      <c r="B177" s="2">
        <v>43506</v>
      </c>
      <c r="C177" s="18">
        <v>43751</v>
      </c>
      <c r="D177" s="18">
        <f ca="1" t="shared" ref="D177:I177" si="173">C177</f>
        <v>43751</v>
      </c>
      <c r="E177" s="18">
        <v>43752</v>
      </c>
      <c r="F177" s="18">
        <f ca="1" t="shared" si="173"/>
        <v>43752</v>
      </c>
      <c r="G177" s="18">
        <v>43751</v>
      </c>
      <c r="H177" s="18">
        <v>43765</v>
      </c>
      <c r="I177" s="18">
        <f ca="1" t="shared" si="173"/>
        <v>43765</v>
      </c>
      <c r="J177" s="18">
        <f ca="1" t="shared" si="131"/>
        <v>43765</v>
      </c>
      <c r="L177" s="1">
        <v>47</v>
      </c>
      <c r="M177" s="1">
        <v>172</v>
      </c>
      <c r="N177" s="1">
        <v>52.5</v>
      </c>
      <c r="O177" s="1">
        <v>6133.2</v>
      </c>
      <c r="P177" s="1">
        <v>0</v>
      </c>
      <c r="Q177" s="1">
        <v>0</v>
      </c>
      <c r="R177" s="1">
        <v>0</v>
      </c>
      <c r="S177" s="1">
        <v>0</v>
      </c>
      <c r="T177" s="1">
        <v>0</v>
      </c>
      <c r="U177" s="1" t="s">
        <v>3327</v>
      </c>
      <c r="V177" s="1" t="s">
        <v>3327</v>
      </c>
      <c r="W177" s="1">
        <v>1</v>
      </c>
      <c r="X177" s="1">
        <v>0</v>
      </c>
      <c r="Y177" s="1">
        <v>1</v>
      </c>
      <c r="Z177" s="1">
        <v>0</v>
      </c>
      <c r="AA177" s="1">
        <v>0</v>
      </c>
      <c r="AB177" s="1">
        <v>0</v>
      </c>
      <c r="AC177" s="1">
        <v>1</v>
      </c>
      <c r="AD177" s="1">
        <v>0</v>
      </c>
      <c r="AE177" s="1">
        <v>0</v>
      </c>
      <c r="AF177" s="1">
        <v>0</v>
      </c>
      <c r="AG177" s="1">
        <v>0</v>
      </c>
      <c r="AH177" s="1">
        <v>0</v>
      </c>
      <c r="AI177" s="1">
        <v>0</v>
      </c>
      <c r="AJ177" s="1">
        <v>0</v>
      </c>
      <c r="AK177" s="1">
        <v>0</v>
      </c>
      <c r="AL177" s="1">
        <v>0</v>
      </c>
      <c r="AM177" s="1">
        <v>0</v>
      </c>
      <c r="AN177" s="1">
        <v>0</v>
      </c>
      <c r="AO177" s="1">
        <v>0</v>
      </c>
      <c r="AP177" s="1">
        <v>1</v>
      </c>
      <c r="AQ177" s="1">
        <v>6</v>
      </c>
      <c r="AR177" s="1">
        <v>0</v>
      </c>
      <c r="AS177" s="1">
        <v>0</v>
      </c>
      <c r="AT177" s="1">
        <v>0</v>
      </c>
      <c r="AU177" s="1">
        <v>0</v>
      </c>
      <c r="AV177" s="1">
        <v>0</v>
      </c>
      <c r="AW177" s="1">
        <v>1</v>
      </c>
      <c r="AX177" s="1">
        <v>0</v>
      </c>
      <c r="AY177" s="1">
        <v>0</v>
      </c>
      <c r="AZ177" s="1">
        <v>0</v>
      </c>
      <c r="BA177" s="1">
        <v>0</v>
      </c>
      <c r="BB177" s="1">
        <v>0</v>
      </c>
      <c r="BC177" s="1">
        <v>0</v>
      </c>
      <c r="BD177" s="1">
        <v>6</v>
      </c>
      <c r="BE177" s="1">
        <v>0</v>
      </c>
      <c r="BF177" s="1">
        <v>0</v>
      </c>
      <c r="BG177" s="1">
        <v>0</v>
      </c>
      <c r="BH177" s="1">
        <v>0</v>
      </c>
      <c r="BI177" s="1">
        <v>0</v>
      </c>
      <c r="BJ177" s="1">
        <v>0</v>
      </c>
      <c r="BK177" s="1">
        <v>0</v>
      </c>
      <c r="BL177" s="1">
        <v>0</v>
      </c>
      <c r="BM177" s="1">
        <v>0</v>
      </c>
      <c r="BN177" s="1">
        <v>0</v>
      </c>
      <c r="BO177" s="1">
        <v>0</v>
      </c>
    </row>
    <row r="178" hidden="1" spans="1:67">
      <c r="A178" s="18">
        <v>43733</v>
      </c>
      <c r="B178" s="2">
        <v>43506</v>
      </c>
      <c r="C178" s="18">
        <v>43751</v>
      </c>
      <c r="D178" s="18">
        <f ca="1" t="shared" ref="D178:I178" si="174">C178</f>
        <v>43751</v>
      </c>
      <c r="E178" s="18">
        <v>43752</v>
      </c>
      <c r="F178" s="18">
        <f ca="1" t="shared" si="174"/>
        <v>43752</v>
      </c>
      <c r="G178" s="18">
        <v>43751</v>
      </c>
      <c r="H178" s="18">
        <v>43765</v>
      </c>
      <c r="I178" s="18">
        <f ca="1" t="shared" si="174"/>
        <v>43765</v>
      </c>
      <c r="J178" s="18">
        <f ca="1" t="shared" si="131"/>
        <v>43765</v>
      </c>
      <c r="L178" s="1">
        <v>45</v>
      </c>
      <c r="M178" s="1" t="s">
        <v>3428</v>
      </c>
      <c r="N178" s="1">
        <v>19.1</v>
      </c>
      <c r="O178" s="1">
        <v>6178.2</v>
      </c>
      <c r="P178" s="1">
        <v>0</v>
      </c>
      <c r="Q178" s="1">
        <v>0</v>
      </c>
      <c r="R178" s="1">
        <v>0</v>
      </c>
      <c r="S178" s="1">
        <v>0</v>
      </c>
      <c r="T178" s="1">
        <v>0</v>
      </c>
      <c r="U178" s="1">
        <v>0</v>
      </c>
      <c r="V178" s="1" t="s">
        <v>3329</v>
      </c>
      <c r="W178" s="1">
        <v>0</v>
      </c>
      <c r="X178" s="1">
        <v>1</v>
      </c>
      <c r="Y178" s="1">
        <v>0</v>
      </c>
      <c r="Z178" s="1">
        <v>0</v>
      </c>
      <c r="AA178" s="1">
        <v>1</v>
      </c>
      <c r="AB178" s="1">
        <v>0</v>
      </c>
      <c r="AC178" s="1">
        <v>0</v>
      </c>
      <c r="AD178" s="1">
        <v>0</v>
      </c>
      <c r="AE178" s="1">
        <v>0</v>
      </c>
      <c r="AF178" s="1">
        <v>0</v>
      </c>
      <c r="AG178" s="1">
        <v>0</v>
      </c>
      <c r="AH178" s="1">
        <v>0</v>
      </c>
      <c r="AI178" s="1">
        <v>0</v>
      </c>
      <c r="AJ178" s="1">
        <v>0</v>
      </c>
      <c r="AK178" s="1">
        <v>0</v>
      </c>
      <c r="AL178" s="1">
        <v>0</v>
      </c>
      <c r="AM178" s="1">
        <v>0</v>
      </c>
      <c r="AN178" s="1">
        <v>0</v>
      </c>
      <c r="AO178" s="1">
        <v>1</v>
      </c>
      <c r="AP178" s="1">
        <v>0</v>
      </c>
      <c r="AQ178" s="1">
        <v>3</v>
      </c>
      <c r="AR178" s="1">
        <v>0</v>
      </c>
      <c r="AS178" s="1">
        <v>0</v>
      </c>
      <c r="AT178" s="1">
        <v>0</v>
      </c>
      <c r="AU178" s="1">
        <v>0</v>
      </c>
      <c r="AV178" s="1">
        <v>0</v>
      </c>
      <c r="AW178" s="1">
        <v>1</v>
      </c>
      <c r="AX178" s="1">
        <v>0</v>
      </c>
      <c r="AY178" s="1">
        <v>0</v>
      </c>
      <c r="AZ178" s="1">
        <v>0</v>
      </c>
      <c r="BA178" s="1">
        <v>0</v>
      </c>
      <c r="BB178" s="1">
        <v>0</v>
      </c>
      <c r="BC178" s="1">
        <v>0</v>
      </c>
      <c r="BD178" s="1">
        <v>0</v>
      </c>
      <c r="BE178" s="1">
        <v>3</v>
      </c>
      <c r="BF178" s="1">
        <v>0</v>
      </c>
      <c r="BG178" s="1">
        <v>0</v>
      </c>
      <c r="BH178" s="1">
        <v>0</v>
      </c>
      <c r="BI178" s="1">
        <v>2</v>
      </c>
      <c r="BJ178" s="1">
        <v>0</v>
      </c>
      <c r="BK178" s="1">
        <v>4</v>
      </c>
      <c r="BL178" s="1">
        <v>4</v>
      </c>
      <c r="BM178" s="1">
        <v>0</v>
      </c>
      <c r="BN178" s="1">
        <v>0</v>
      </c>
      <c r="BO178" s="1">
        <v>0</v>
      </c>
    </row>
    <row r="179" hidden="1" spans="1:67">
      <c r="A179" s="18">
        <v>43733</v>
      </c>
      <c r="B179" s="2">
        <v>43506</v>
      </c>
      <c r="C179" s="18">
        <v>43751</v>
      </c>
      <c r="D179" s="18">
        <f ca="1" t="shared" ref="D179:I179" si="175">C179</f>
        <v>43751</v>
      </c>
      <c r="E179" s="18">
        <v>43752</v>
      </c>
      <c r="F179" s="18">
        <f ca="1" t="shared" si="175"/>
        <v>43752</v>
      </c>
      <c r="G179" s="18">
        <v>43765</v>
      </c>
      <c r="H179" s="18">
        <v>43765</v>
      </c>
      <c r="I179" s="18">
        <f ca="1" t="shared" si="175"/>
        <v>43765</v>
      </c>
      <c r="J179" s="18">
        <f ca="1" t="shared" si="131"/>
        <v>43765</v>
      </c>
      <c r="L179" s="1">
        <v>45.1</v>
      </c>
      <c r="M179" s="1">
        <v>173</v>
      </c>
      <c r="N179" s="1">
        <v>45.2</v>
      </c>
      <c r="O179" s="1">
        <v>6223.3</v>
      </c>
      <c r="P179" s="1">
        <v>0</v>
      </c>
      <c r="Q179" s="1">
        <v>0</v>
      </c>
      <c r="R179" s="1">
        <v>0</v>
      </c>
      <c r="S179" s="1">
        <v>0</v>
      </c>
      <c r="T179" s="1">
        <v>0</v>
      </c>
      <c r="U179" s="1" t="s">
        <v>3347</v>
      </c>
      <c r="V179" s="1" t="s">
        <v>3347</v>
      </c>
      <c r="W179" s="1">
        <v>1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0</v>
      </c>
      <c r="AD179" s="1">
        <v>0</v>
      </c>
      <c r="AE179" s="1">
        <v>0</v>
      </c>
      <c r="AF179" s="1">
        <v>0</v>
      </c>
      <c r="AG179" s="1">
        <v>0</v>
      </c>
      <c r="AH179" s="1">
        <v>0</v>
      </c>
      <c r="AI179" s="1">
        <v>0</v>
      </c>
      <c r="AJ179" s="1">
        <v>0</v>
      </c>
      <c r="AK179" s="1">
        <v>0</v>
      </c>
      <c r="AL179" s="1">
        <v>0</v>
      </c>
      <c r="AM179" s="1">
        <v>0</v>
      </c>
      <c r="AN179" s="1">
        <v>0</v>
      </c>
      <c r="AO179" s="1">
        <v>1</v>
      </c>
      <c r="AP179" s="1">
        <v>0</v>
      </c>
      <c r="AQ179" s="1">
        <v>3</v>
      </c>
      <c r="AR179" s="1">
        <v>0</v>
      </c>
      <c r="AS179" s="1">
        <v>0</v>
      </c>
      <c r="AT179" s="1">
        <v>0</v>
      </c>
      <c r="AU179" s="1">
        <v>0</v>
      </c>
      <c r="AV179" s="1">
        <v>0</v>
      </c>
      <c r="AW179" s="1">
        <v>1</v>
      </c>
      <c r="AX179" s="1">
        <v>3</v>
      </c>
      <c r="AY179" s="1">
        <v>3</v>
      </c>
      <c r="AZ179" s="1">
        <v>0</v>
      </c>
      <c r="BA179" s="1">
        <v>0</v>
      </c>
      <c r="BB179" s="1">
        <v>2</v>
      </c>
      <c r="BC179" s="1">
        <v>0</v>
      </c>
      <c r="BD179" s="1">
        <v>0</v>
      </c>
      <c r="BE179" s="1">
        <v>3</v>
      </c>
      <c r="BF179" s="1">
        <v>0</v>
      </c>
      <c r="BG179" s="1">
        <v>0</v>
      </c>
      <c r="BH179" s="1">
        <v>0</v>
      </c>
      <c r="BI179" s="1">
        <v>0</v>
      </c>
      <c r="BJ179" s="1">
        <v>0</v>
      </c>
      <c r="BK179" s="1">
        <v>0</v>
      </c>
      <c r="BL179" s="1">
        <v>0</v>
      </c>
      <c r="BM179" s="1">
        <v>0</v>
      </c>
      <c r="BN179" s="1" t="s">
        <v>3355</v>
      </c>
      <c r="BO179" s="1">
        <v>0</v>
      </c>
    </row>
    <row r="180" hidden="1" spans="1:67">
      <c r="A180" s="18">
        <v>43733</v>
      </c>
      <c r="B180" s="2">
        <v>43506</v>
      </c>
      <c r="C180" s="18">
        <v>43751</v>
      </c>
      <c r="D180" s="18">
        <f ca="1" t="shared" ref="D180:I180" si="176">C180</f>
        <v>43751</v>
      </c>
      <c r="E180" s="18">
        <v>43752</v>
      </c>
      <c r="F180" s="18">
        <f ca="1" t="shared" si="176"/>
        <v>43752</v>
      </c>
      <c r="G180" s="18">
        <v>43751</v>
      </c>
      <c r="H180" s="18">
        <v>43765</v>
      </c>
      <c r="I180" s="18">
        <f ca="1" t="shared" si="176"/>
        <v>43765</v>
      </c>
      <c r="J180" s="18">
        <f ca="1" t="shared" si="131"/>
        <v>43765</v>
      </c>
      <c r="L180" s="1">
        <v>48</v>
      </c>
      <c r="M180" s="1" t="s">
        <v>3429</v>
      </c>
      <c r="N180" s="1">
        <v>49.5</v>
      </c>
      <c r="O180" s="1">
        <v>6271.3</v>
      </c>
      <c r="P180" s="1">
        <v>0</v>
      </c>
      <c r="Q180" s="1">
        <v>0</v>
      </c>
      <c r="R180" s="1">
        <v>0</v>
      </c>
      <c r="S180" s="1">
        <v>0</v>
      </c>
      <c r="T180" s="1">
        <v>0</v>
      </c>
      <c r="U180" s="1">
        <v>0</v>
      </c>
      <c r="V180" s="1" t="s">
        <v>3329</v>
      </c>
      <c r="W180" s="1">
        <v>0</v>
      </c>
      <c r="X180" s="1">
        <v>1</v>
      </c>
      <c r="Y180" s="1">
        <v>0</v>
      </c>
      <c r="Z180" s="1">
        <v>0</v>
      </c>
      <c r="AA180" s="1">
        <v>1</v>
      </c>
      <c r="AB180" s="1">
        <v>0</v>
      </c>
      <c r="AC180" s="1">
        <v>0</v>
      </c>
      <c r="AD180" s="1">
        <v>0</v>
      </c>
      <c r="AE180" s="1">
        <v>0</v>
      </c>
      <c r="AF180" s="1">
        <v>0</v>
      </c>
      <c r="AG180" s="1">
        <v>0</v>
      </c>
      <c r="AH180" s="1">
        <v>0</v>
      </c>
      <c r="AI180" s="1">
        <v>0</v>
      </c>
      <c r="AJ180" s="1">
        <v>0</v>
      </c>
      <c r="AK180" s="1">
        <v>0</v>
      </c>
      <c r="AL180" s="1">
        <v>0</v>
      </c>
      <c r="AM180" s="1">
        <v>0</v>
      </c>
      <c r="AN180" s="1">
        <v>0</v>
      </c>
      <c r="AO180" s="1">
        <v>1</v>
      </c>
      <c r="AP180" s="1">
        <v>0</v>
      </c>
      <c r="AQ180" s="1">
        <v>3</v>
      </c>
      <c r="AR180" s="1">
        <v>0</v>
      </c>
      <c r="AS180" s="1">
        <v>0</v>
      </c>
      <c r="AT180" s="1">
        <v>0</v>
      </c>
      <c r="AU180" s="1">
        <v>0</v>
      </c>
      <c r="AV180" s="1">
        <v>0</v>
      </c>
      <c r="AW180" s="1">
        <v>1</v>
      </c>
      <c r="AX180" s="1">
        <v>0</v>
      </c>
      <c r="AY180" s="1">
        <v>0</v>
      </c>
      <c r="AZ180" s="1">
        <v>0</v>
      </c>
      <c r="BA180" s="1">
        <v>0</v>
      </c>
      <c r="BB180" s="1">
        <v>0</v>
      </c>
      <c r="BC180" s="1">
        <v>0</v>
      </c>
      <c r="BD180" s="1">
        <v>0</v>
      </c>
      <c r="BE180" s="1">
        <v>3</v>
      </c>
      <c r="BF180" s="1">
        <v>0</v>
      </c>
      <c r="BG180" s="1">
        <v>0</v>
      </c>
      <c r="BH180" s="1">
        <v>0</v>
      </c>
      <c r="BI180" s="1">
        <v>2</v>
      </c>
      <c r="BJ180" s="1">
        <v>0</v>
      </c>
      <c r="BK180" s="1">
        <v>9</v>
      </c>
      <c r="BL180" s="1">
        <v>4</v>
      </c>
      <c r="BM180" s="1">
        <v>0</v>
      </c>
      <c r="BN180" s="1">
        <v>0</v>
      </c>
      <c r="BO180" s="1">
        <v>0</v>
      </c>
    </row>
    <row r="181" hidden="1" spans="1:67">
      <c r="A181" s="18">
        <v>43733</v>
      </c>
      <c r="B181" s="2">
        <v>43506</v>
      </c>
      <c r="C181" s="18">
        <v>43751</v>
      </c>
      <c r="D181" s="18">
        <f ca="1" t="shared" ref="D181:I181" si="177">C181</f>
        <v>43751</v>
      </c>
      <c r="E181" s="18">
        <v>43752</v>
      </c>
      <c r="F181" s="18">
        <f ca="1" t="shared" si="177"/>
        <v>43752</v>
      </c>
      <c r="G181" s="18">
        <v>43765</v>
      </c>
      <c r="H181" s="18">
        <v>43765</v>
      </c>
      <c r="I181" s="18">
        <f ca="1" t="shared" si="177"/>
        <v>43765</v>
      </c>
      <c r="J181" s="18">
        <f ca="1" t="shared" si="131"/>
        <v>43765</v>
      </c>
      <c r="L181" s="1">
        <v>46.7</v>
      </c>
      <c r="M181" s="1">
        <v>174</v>
      </c>
      <c r="N181" s="1">
        <v>49.4</v>
      </c>
      <c r="O181" s="1">
        <v>6318</v>
      </c>
      <c r="P181" s="1">
        <v>0</v>
      </c>
      <c r="Q181" s="1">
        <v>0</v>
      </c>
      <c r="R181" s="1">
        <v>0</v>
      </c>
      <c r="S181" s="1">
        <v>3</v>
      </c>
      <c r="T181" s="1">
        <v>0</v>
      </c>
      <c r="U181" s="1" t="s">
        <v>3324</v>
      </c>
      <c r="V181" s="1" t="s">
        <v>3324</v>
      </c>
      <c r="W181" s="1">
        <v>1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0</v>
      </c>
      <c r="AD181" s="1">
        <v>0</v>
      </c>
      <c r="AE181" s="1">
        <v>0</v>
      </c>
      <c r="AF181" s="1">
        <v>0</v>
      </c>
      <c r="AG181" s="1">
        <v>0</v>
      </c>
      <c r="AH181" s="1">
        <v>0</v>
      </c>
      <c r="AI181" s="1">
        <v>0</v>
      </c>
      <c r="AJ181" s="1">
        <v>0</v>
      </c>
      <c r="AK181" s="1">
        <v>0</v>
      </c>
      <c r="AL181" s="1">
        <v>0</v>
      </c>
      <c r="AM181" s="1">
        <v>0</v>
      </c>
      <c r="AN181" s="1">
        <v>0</v>
      </c>
      <c r="AO181" s="1">
        <v>0</v>
      </c>
      <c r="AP181" s="1">
        <v>0</v>
      </c>
      <c r="AQ181" s="1">
        <v>6</v>
      </c>
      <c r="AR181" s="1">
        <v>0</v>
      </c>
      <c r="AS181" s="1">
        <v>0</v>
      </c>
      <c r="AT181" s="1">
        <v>0</v>
      </c>
      <c r="AU181" s="1">
        <v>6</v>
      </c>
      <c r="AV181" s="1">
        <v>0</v>
      </c>
      <c r="AW181" s="1">
        <v>1</v>
      </c>
      <c r="AX181" s="1">
        <v>3</v>
      </c>
      <c r="AY181" s="1">
        <v>3</v>
      </c>
      <c r="AZ181" s="1">
        <v>0</v>
      </c>
      <c r="BA181" s="1">
        <v>0</v>
      </c>
      <c r="BB181" s="1">
        <v>0</v>
      </c>
      <c r="BC181" s="1">
        <v>0</v>
      </c>
      <c r="BD181" s="1">
        <v>0</v>
      </c>
      <c r="BE181" s="1">
        <v>6</v>
      </c>
      <c r="BF181" s="1">
        <v>0</v>
      </c>
      <c r="BG181" s="1">
        <v>0</v>
      </c>
      <c r="BH181" s="1">
        <v>0</v>
      </c>
      <c r="BI181" s="1">
        <v>0</v>
      </c>
      <c r="BJ181" s="1">
        <v>0</v>
      </c>
      <c r="BK181" s="1">
        <v>0</v>
      </c>
      <c r="BL181" s="1">
        <v>0</v>
      </c>
      <c r="BM181" s="1">
        <v>0</v>
      </c>
      <c r="BN181" s="1">
        <v>0</v>
      </c>
      <c r="BO181" s="1">
        <v>0</v>
      </c>
    </row>
    <row r="182" hidden="1" spans="1:67">
      <c r="A182" s="18">
        <v>43733</v>
      </c>
      <c r="B182" s="2">
        <v>43506</v>
      </c>
      <c r="C182" s="18">
        <v>43751</v>
      </c>
      <c r="D182" s="18">
        <f ca="1" t="shared" ref="D182:I182" si="178">C182</f>
        <v>43751</v>
      </c>
      <c r="E182" s="18">
        <v>43752</v>
      </c>
      <c r="F182" s="18">
        <f ca="1" t="shared" si="178"/>
        <v>43752</v>
      </c>
      <c r="G182" s="18">
        <v>0</v>
      </c>
      <c r="H182" s="18"/>
      <c r="I182" s="18">
        <f ca="1" t="shared" si="178"/>
        <v>0</v>
      </c>
      <c r="J182" s="18">
        <f ca="1" t="shared" si="131"/>
        <v>0</v>
      </c>
      <c r="L182" s="1">
        <v>20</v>
      </c>
      <c r="M182" s="1" t="s">
        <v>3430</v>
      </c>
      <c r="N182" s="1">
        <v>24.1</v>
      </c>
      <c r="O182" s="1">
        <v>6338</v>
      </c>
      <c r="P182" s="1">
        <v>0</v>
      </c>
      <c r="Q182" s="1">
        <v>0</v>
      </c>
      <c r="R182" s="1">
        <v>0</v>
      </c>
      <c r="S182" s="1">
        <v>0</v>
      </c>
      <c r="T182" s="1">
        <v>0</v>
      </c>
      <c r="U182" s="1" t="s">
        <v>3324</v>
      </c>
      <c r="V182" s="1" t="s">
        <v>3324</v>
      </c>
      <c r="W182" s="1">
        <v>1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0</v>
      </c>
      <c r="AD182" s="1">
        <v>0</v>
      </c>
      <c r="AE182" s="1">
        <v>0</v>
      </c>
      <c r="AF182" s="1">
        <v>0</v>
      </c>
      <c r="AG182" s="1">
        <v>0</v>
      </c>
      <c r="AH182" s="1">
        <v>0</v>
      </c>
      <c r="AI182" s="1">
        <v>0</v>
      </c>
      <c r="AJ182" s="1">
        <v>0</v>
      </c>
      <c r="AK182" s="1">
        <v>0</v>
      </c>
      <c r="AL182" s="1">
        <v>0</v>
      </c>
      <c r="AM182" s="1">
        <v>0</v>
      </c>
      <c r="AN182" s="1">
        <v>0</v>
      </c>
      <c r="AO182" s="1">
        <v>0</v>
      </c>
      <c r="AP182" s="1">
        <v>0</v>
      </c>
      <c r="AQ182" s="1">
        <v>0</v>
      </c>
      <c r="AR182" s="1">
        <v>0</v>
      </c>
      <c r="AS182" s="1">
        <v>0</v>
      </c>
      <c r="AT182" s="1">
        <v>0</v>
      </c>
      <c r="AU182" s="1">
        <v>3</v>
      </c>
      <c r="AV182" s="1">
        <v>1</v>
      </c>
      <c r="AW182" s="1">
        <v>0</v>
      </c>
      <c r="AX182" s="1">
        <v>3</v>
      </c>
      <c r="AY182" s="1">
        <v>3</v>
      </c>
      <c r="AZ182" s="1">
        <v>0</v>
      </c>
      <c r="BA182" s="1">
        <v>0</v>
      </c>
      <c r="BB182" s="1">
        <v>0</v>
      </c>
      <c r="BC182" s="1">
        <v>6</v>
      </c>
      <c r="BD182" s="1">
        <v>0</v>
      </c>
      <c r="BE182" s="1">
        <v>0</v>
      </c>
      <c r="BF182" s="1">
        <v>0</v>
      </c>
      <c r="BG182" s="1">
        <v>0</v>
      </c>
      <c r="BH182" s="1">
        <v>0</v>
      </c>
      <c r="BI182" s="1">
        <v>0</v>
      </c>
      <c r="BJ182" s="1">
        <v>0</v>
      </c>
      <c r="BK182" s="1">
        <v>0</v>
      </c>
      <c r="BL182" s="1">
        <v>0</v>
      </c>
      <c r="BM182" s="1">
        <v>0</v>
      </c>
      <c r="BN182" s="1">
        <v>0</v>
      </c>
      <c r="BO182" s="1">
        <v>0</v>
      </c>
    </row>
    <row r="183" hidden="1" spans="1:67">
      <c r="A183" s="18"/>
      <c r="B183" s="18"/>
      <c r="C183" s="18"/>
      <c r="D183" s="18"/>
      <c r="E183" s="18"/>
      <c r="F183" s="18"/>
      <c r="G183" s="18"/>
      <c r="H183" s="18"/>
      <c r="I183" s="18"/>
      <c r="J183" s="18"/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>
        <v>0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0</v>
      </c>
      <c r="AD183" s="1">
        <v>0</v>
      </c>
      <c r="AE183" s="1">
        <v>0</v>
      </c>
      <c r="AF183" s="1">
        <v>0</v>
      </c>
      <c r="AG183" s="1">
        <v>0</v>
      </c>
      <c r="AH183" s="1">
        <v>0</v>
      </c>
      <c r="AI183" s="1">
        <v>0</v>
      </c>
      <c r="AJ183" s="1">
        <v>0</v>
      </c>
      <c r="AK183" s="1">
        <v>0</v>
      </c>
      <c r="AL183" s="1">
        <v>0</v>
      </c>
      <c r="AM183" s="1">
        <v>0</v>
      </c>
      <c r="AN183" s="1">
        <v>0</v>
      </c>
      <c r="AO183" s="1">
        <v>0</v>
      </c>
      <c r="AP183" s="1">
        <v>0</v>
      </c>
      <c r="AQ183" s="1">
        <v>0</v>
      </c>
      <c r="AR183" s="1">
        <v>0</v>
      </c>
      <c r="AS183" s="1">
        <v>0</v>
      </c>
      <c r="AT183" s="1">
        <v>0</v>
      </c>
      <c r="AU183" s="1">
        <v>0</v>
      </c>
      <c r="AV183" s="1">
        <v>0</v>
      </c>
      <c r="AW183" s="1">
        <v>0</v>
      </c>
      <c r="AX183" s="1">
        <v>0</v>
      </c>
      <c r="AY183" s="1">
        <v>0</v>
      </c>
      <c r="AZ183" s="1">
        <v>0</v>
      </c>
      <c r="BA183" s="1">
        <v>0</v>
      </c>
      <c r="BB183" s="1">
        <v>0</v>
      </c>
      <c r="BC183" s="1">
        <v>0</v>
      </c>
      <c r="BD183" s="1">
        <v>0</v>
      </c>
      <c r="BE183" s="1">
        <v>0</v>
      </c>
      <c r="BF183" s="1">
        <v>0</v>
      </c>
      <c r="BG183" s="1">
        <v>0</v>
      </c>
      <c r="BH183" s="1">
        <v>0</v>
      </c>
      <c r="BI183" s="1">
        <v>0</v>
      </c>
      <c r="BJ183" s="1">
        <v>0</v>
      </c>
      <c r="BK183" s="1">
        <v>0</v>
      </c>
      <c r="BL183" s="1">
        <v>0</v>
      </c>
      <c r="BM183" s="1">
        <v>0</v>
      </c>
      <c r="BN183" s="1">
        <v>0</v>
      </c>
      <c r="BO183" s="1">
        <v>0</v>
      </c>
    </row>
    <row r="184" hidden="1" spans="1:67">
      <c r="A184" s="18"/>
      <c r="B184" s="18"/>
      <c r="C184" s="18"/>
      <c r="D184" s="18"/>
      <c r="E184" s="18"/>
      <c r="F184" s="18"/>
      <c r="G184" s="18"/>
      <c r="H184" s="18"/>
      <c r="I184" s="18"/>
      <c r="J184" s="18"/>
      <c r="L184" s="1" t="s">
        <v>3431</v>
      </c>
      <c r="M184" s="1" t="s">
        <v>3432</v>
      </c>
      <c r="N184" s="1">
        <v>6338</v>
      </c>
      <c r="O184" s="1">
        <v>6338</v>
      </c>
      <c r="P184" s="1">
        <v>159</v>
      </c>
      <c r="Q184" s="1">
        <v>12</v>
      </c>
      <c r="R184" s="1">
        <v>24</v>
      </c>
      <c r="S184" s="1">
        <v>15</v>
      </c>
      <c r="T184" s="1">
        <v>59</v>
      </c>
      <c r="U184" s="1">
        <v>0</v>
      </c>
      <c r="V184" s="1">
        <v>0</v>
      </c>
      <c r="W184" s="1">
        <v>94</v>
      </c>
      <c r="X184" s="1">
        <v>96</v>
      </c>
      <c r="Y184" s="1">
        <v>15</v>
      </c>
      <c r="Z184" s="1">
        <v>36</v>
      </c>
      <c r="AA184" s="1">
        <v>40</v>
      </c>
      <c r="AB184" s="1">
        <v>10</v>
      </c>
      <c r="AC184" s="1">
        <v>15</v>
      </c>
      <c r="AD184" s="1">
        <v>7</v>
      </c>
      <c r="AE184" s="1">
        <v>3</v>
      </c>
      <c r="AF184" s="1">
        <v>2</v>
      </c>
      <c r="AG184" s="1">
        <v>2</v>
      </c>
      <c r="AH184" s="1">
        <v>1</v>
      </c>
      <c r="AI184" s="1">
        <v>2</v>
      </c>
      <c r="AJ184" s="1">
        <v>15</v>
      </c>
      <c r="AK184" s="1">
        <v>14</v>
      </c>
      <c r="AL184" s="1">
        <v>10</v>
      </c>
      <c r="AM184" s="1">
        <v>5</v>
      </c>
      <c r="AN184" s="1">
        <v>10</v>
      </c>
      <c r="AO184" s="1">
        <v>151</v>
      </c>
      <c r="AP184" s="1">
        <v>8</v>
      </c>
      <c r="AQ184" s="1">
        <v>591</v>
      </c>
      <c r="AR184" s="1">
        <v>93</v>
      </c>
      <c r="AS184" s="1">
        <v>0</v>
      </c>
      <c r="AT184" s="1">
        <v>19</v>
      </c>
      <c r="AU184" s="1">
        <v>96</v>
      </c>
      <c r="AV184" s="1">
        <v>29</v>
      </c>
      <c r="AW184" s="1">
        <v>163</v>
      </c>
      <c r="AX184" s="1">
        <v>56</v>
      </c>
      <c r="AY184" s="1">
        <v>47</v>
      </c>
      <c r="AZ184" s="1">
        <v>10</v>
      </c>
      <c r="BA184" s="1">
        <v>4</v>
      </c>
      <c r="BB184" s="1">
        <v>70</v>
      </c>
      <c r="BC184" s="1">
        <v>100</v>
      </c>
      <c r="BD184" s="1">
        <v>48</v>
      </c>
      <c r="BE184" s="1">
        <v>543</v>
      </c>
      <c r="BF184" s="1">
        <v>3</v>
      </c>
      <c r="BG184" s="1">
        <v>6</v>
      </c>
      <c r="BH184" s="1">
        <v>42</v>
      </c>
      <c r="BI184" s="1">
        <v>74</v>
      </c>
      <c r="BJ184" s="1">
        <v>3</v>
      </c>
      <c r="BK184" s="1">
        <v>347</v>
      </c>
      <c r="BL184" s="1">
        <v>353</v>
      </c>
      <c r="BM184" s="1">
        <v>15</v>
      </c>
      <c r="BN184" s="1">
        <v>0</v>
      </c>
      <c r="BO184" s="1">
        <v>0</v>
      </c>
    </row>
    <row r="185" hidden="1" spans="1:67">
      <c r="A185" s="18"/>
      <c r="B185" s="18"/>
      <c r="C185" s="18"/>
      <c r="D185" s="18"/>
      <c r="E185" s="18"/>
      <c r="F185" s="18"/>
      <c r="G185" s="18"/>
      <c r="H185" s="18"/>
      <c r="I185" s="18"/>
      <c r="J185" s="18"/>
      <c r="L185" s="1">
        <v>0</v>
      </c>
      <c r="M185" s="1" t="s">
        <v>3432</v>
      </c>
      <c r="N185" s="1">
        <v>6342.9</v>
      </c>
      <c r="O185" s="1">
        <v>19028.7</v>
      </c>
      <c r="P185" s="1">
        <v>159</v>
      </c>
      <c r="Q185" s="1">
        <v>12</v>
      </c>
      <c r="R185" s="1">
        <v>24</v>
      </c>
      <c r="S185" s="1">
        <v>15</v>
      </c>
      <c r="T185" s="1">
        <v>59</v>
      </c>
      <c r="U185" s="1">
        <v>0</v>
      </c>
      <c r="V185" s="1">
        <v>0</v>
      </c>
      <c r="W185" s="1">
        <v>94</v>
      </c>
      <c r="X185" s="1">
        <v>97</v>
      </c>
      <c r="Y185" s="1">
        <v>15</v>
      </c>
      <c r="Z185" s="1">
        <v>37</v>
      </c>
      <c r="AA185" s="1">
        <v>40</v>
      </c>
      <c r="AB185" s="1">
        <v>10</v>
      </c>
      <c r="AC185" s="1">
        <v>15</v>
      </c>
      <c r="AD185" s="1">
        <v>7</v>
      </c>
      <c r="AE185" s="1">
        <v>3</v>
      </c>
      <c r="AF185" s="1">
        <v>3</v>
      </c>
      <c r="AG185" s="1">
        <v>2</v>
      </c>
      <c r="AH185" s="1">
        <v>1</v>
      </c>
      <c r="AI185" s="1">
        <v>3</v>
      </c>
      <c r="AJ185" s="1">
        <v>15</v>
      </c>
      <c r="AK185" s="1">
        <v>14</v>
      </c>
      <c r="AL185" s="1">
        <v>10</v>
      </c>
      <c r="AM185" s="1">
        <v>5</v>
      </c>
      <c r="AN185" s="1">
        <v>10</v>
      </c>
      <c r="AO185" s="1">
        <v>150</v>
      </c>
      <c r="AP185" s="1">
        <v>9</v>
      </c>
      <c r="AQ185" s="1">
        <v>594</v>
      </c>
      <c r="AR185" s="1">
        <v>93</v>
      </c>
      <c r="AS185" s="1">
        <v>0</v>
      </c>
      <c r="AT185" s="1">
        <v>19</v>
      </c>
      <c r="AU185" s="1">
        <v>96</v>
      </c>
      <c r="AV185" s="1">
        <v>29</v>
      </c>
      <c r="AW185" s="1">
        <v>163</v>
      </c>
      <c r="AX185" s="1">
        <v>56</v>
      </c>
      <c r="AY185" s="1">
        <v>47</v>
      </c>
      <c r="AZ185" s="1">
        <v>10</v>
      </c>
      <c r="BA185" s="1">
        <v>4</v>
      </c>
      <c r="BB185" s="1">
        <v>70</v>
      </c>
      <c r="BC185" s="1">
        <v>100</v>
      </c>
      <c r="BD185" s="1">
        <v>54</v>
      </c>
      <c r="BE185" s="1">
        <v>540</v>
      </c>
      <c r="BF185" s="1">
        <v>3</v>
      </c>
      <c r="BG185" s="1">
        <v>6</v>
      </c>
      <c r="BH185" s="1">
        <v>42</v>
      </c>
      <c r="BI185" s="1">
        <v>74</v>
      </c>
      <c r="BJ185" s="1">
        <v>3</v>
      </c>
      <c r="BK185" s="1">
        <v>347</v>
      </c>
      <c r="BL185" s="1">
        <v>353</v>
      </c>
      <c r="BM185" s="1">
        <v>14.7</v>
      </c>
      <c r="BN185" s="1">
        <v>0</v>
      </c>
      <c r="BO185" s="1">
        <v>0</v>
      </c>
    </row>
    <row r="186" hidden="1" spans="1:67">
      <c r="A186" s="18"/>
      <c r="B186" s="18"/>
      <c r="C186" s="18"/>
      <c r="D186" s="18"/>
      <c r="E186" s="18"/>
      <c r="F186" s="18"/>
      <c r="G186" s="18"/>
      <c r="H186" s="18"/>
      <c r="I186" s="18"/>
      <c r="J186" s="18"/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>
        <v>0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0</v>
      </c>
      <c r="AD186" s="1">
        <v>0</v>
      </c>
      <c r="AE186" s="1">
        <v>0</v>
      </c>
      <c r="AF186" s="1">
        <v>0</v>
      </c>
      <c r="AG186" s="1">
        <v>0</v>
      </c>
      <c r="AH186" s="1">
        <v>0</v>
      </c>
      <c r="AI186" s="1">
        <v>0</v>
      </c>
      <c r="AJ186" s="1">
        <v>0</v>
      </c>
      <c r="AK186" s="1">
        <v>0</v>
      </c>
      <c r="AL186" s="1">
        <v>0</v>
      </c>
      <c r="AM186" s="1">
        <v>0</v>
      </c>
      <c r="AN186" s="1">
        <v>0</v>
      </c>
      <c r="AO186" s="1">
        <v>0</v>
      </c>
      <c r="AP186" s="1">
        <v>0</v>
      </c>
      <c r="AQ186" s="1">
        <v>0</v>
      </c>
      <c r="AR186" s="1">
        <v>0</v>
      </c>
      <c r="AS186" s="1">
        <v>0</v>
      </c>
      <c r="AT186" s="1">
        <v>0</v>
      </c>
      <c r="AU186" s="1">
        <v>0</v>
      </c>
      <c r="AV186" s="1">
        <v>0</v>
      </c>
      <c r="AW186" s="1">
        <v>0</v>
      </c>
      <c r="AX186" s="1">
        <v>0</v>
      </c>
      <c r="AY186" s="1">
        <v>0</v>
      </c>
      <c r="AZ186" s="1">
        <v>0</v>
      </c>
      <c r="BA186" s="1">
        <v>0</v>
      </c>
      <c r="BB186" s="1">
        <v>0</v>
      </c>
      <c r="BC186" s="1">
        <v>0</v>
      </c>
      <c r="BD186" s="1">
        <v>0</v>
      </c>
      <c r="BE186" s="1">
        <v>0</v>
      </c>
      <c r="BF186" s="1">
        <v>0</v>
      </c>
      <c r="BG186" s="1">
        <v>0</v>
      </c>
      <c r="BH186" s="1">
        <v>0</v>
      </c>
      <c r="BI186" s="1">
        <v>0</v>
      </c>
      <c r="BJ186" s="1">
        <v>0</v>
      </c>
      <c r="BK186" s="1">
        <v>0</v>
      </c>
      <c r="BL186" s="1">
        <v>0</v>
      </c>
      <c r="BM186" s="1">
        <v>0</v>
      </c>
      <c r="BN186" s="1">
        <v>0</v>
      </c>
      <c r="BO186" s="1">
        <v>0</v>
      </c>
    </row>
  </sheetData>
  <autoFilter ref="A5:BO186">
    <filterColumn colId="12">
      <customFilters>
        <customFilter operator="equal" val="122a"/>
      </customFilters>
    </filterColumn>
    <extLst/>
  </autoFilter>
  <pageMargins left="0.699305555555556" right="0.699305555555556" top="0.75" bottom="0.75" header="0.3" footer="0.3"/>
  <pageSetup paperSize="1" orientation="portrait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/>
  <dimension ref="A1:W182"/>
  <sheetViews>
    <sheetView workbookViewId="0">
      <selection activeCell="C1458" sqref="C1458"/>
    </sheetView>
  </sheetViews>
  <sheetFormatPr defaultColWidth="11" defaultRowHeight="16.8"/>
  <cols>
    <col min="1" max="1" width="11" style="1"/>
    <col min="2" max="2" width="23.7777777777778" style="17" customWidth="1"/>
    <col min="3" max="3" width="8.33333333333333" style="1" customWidth="1"/>
    <col min="4" max="4" width="46.4444444444444" style="1" customWidth="1"/>
    <col min="5" max="6" width="11" style="1" customWidth="1"/>
    <col min="7" max="7" width="12.8888888888889" style="1" customWidth="1"/>
    <col min="8" max="8" width="7.77777777777778" style="1" customWidth="1"/>
    <col min="9" max="9" width="10.4444444444444" style="1" customWidth="1"/>
    <col min="10" max="10" width="51.8796296296296" style="1" customWidth="1"/>
    <col min="11" max="11" width="18.8888888888889" style="32" customWidth="1"/>
    <col min="12" max="12" width="12.2222222222222" style="1" customWidth="1"/>
    <col min="13" max="13" width="21.6666666666667" style="18" customWidth="1"/>
    <col min="14" max="14" width="16.1574074074074" style="1" customWidth="1"/>
    <col min="15" max="15" width="11.1111111111111" style="1" customWidth="1"/>
    <col min="16" max="16" width="18" style="1" customWidth="1"/>
    <col min="17" max="17" width="11.1111111111111" style="1" customWidth="1"/>
    <col min="18" max="18" width="13.5555555555556" style="1" customWidth="1"/>
    <col min="19" max="19" width="13.2222222222222" style="1" customWidth="1"/>
    <col min="20" max="20" width="13.5555555555556" style="1" customWidth="1"/>
    <col min="21" max="21" width="15.2222222222222" style="1" customWidth="1"/>
    <col min="22" max="22" width="11.1111111111111" style="1" customWidth="1"/>
    <col min="23" max="23" width="7.88888888888889" style="1" customWidth="1"/>
    <col min="24" max="24" width="21.1111111111111" style="1" customWidth="1"/>
    <col min="25" max="16384" width="11" style="1"/>
  </cols>
  <sheetData>
    <row r="1" ht="36" customHeight="1" spans="1:23">
      <c r="A1" s="1" t="s">
        <v>28</v>
      </c>
      <c r="C1" s="3" t="s">
        <v>15</v>
      </c>
      <c r="D1" s="5" t="s">
        <v>3433</v>
      </c>
      <c r="E1" s="20" t="s">
        <v>3434</v>
      </c>
      <c r="F1" s="20" t="s">
        <v>3435</v>
      </c>
      <c r="G1" s="5" t="s">
        <v>3436</v>
      </c>
      <c r="H1" s="5" t="s">
        <v>3437</v>
      </c>
      <c r="I1" s="26" t="s">
        <v>3438</v>
      </c>
      <c r="J1" s="26">
        <v>2</v>
      </c>
      <c r="K1" s="36" t="s">
        <v>3439</v>
      </c>
      <c r="L1" s="37" t="s">
        <v>507</v>
      </c>
      <c r="M1" s="27" t="s">
        <v>3440</v>
      </c>
      <c r="N1" s="1" t="s">
        <v>2872</v>
      </c>
      <c r="O1" s="1" t="s">
        <v>2874</v>
      </c>
      <c r="P1" s="1" t="s">
        <v>2898</v>
      </c>
      <c r="Q1" s="1" t="s">
        <v>2906</v>
      </c>
      <c r="R1" s="1" t="s">
        <v>3070</v>
      </c>
      <c r="S1" s="1" t="s">
        <v>3074</v>
      </c>
      <c r="T1" s="1" t="s">
        <v>3078</v>
      </c>
      <c r="U1" s="1" t="s">
        <v>3082</v>
      </c>
      <c r="V1" s="1" t="s">
        <v>3084</v>
      </c>
      <c r="W1" s="30" t="s">
        <v>3112</v>
      </c>
    </row>
    <row r="2" ht="50.4" spans="2:23">
      <c r="B2" s="1" t="s">
        <v>2872</v>
      </c>
      <c r="C2" s="12">
        <f ca="1">SUM($I$2:I2)</f>
        <v>1</v>
      </c>
      <c r="D2" s="14" t="str">
        <f ca="1">VLOOKUP(B2,DonGia,3,0)&amp;" tại các vị trí: "&amp;J2</f>
        <v>Móng M12 tại các vị trí: 140A, 141A, 143A, 144A, 145B, 146A, 150A, 151A, 152A, 154A, 159A, 162A, 163A, 168A</v>
      </c>
      <c r="E2" s="21">
        <f ca="1">HLOOKUP(B2,BangKeTru!$1:$184,184,0)</f>
        <v>36</v>
      </c>
      <c r="F2" s="21">
        <f ca="1" t="shared" ref="F2:F11" si="0">IF(LEN(J2)&gt;0,(LEN(J2)-LEN(SUBSTITUTE(J2,", ","")))/2+1,0)</f>
        <v>14</v>
      </c>
      <c r="G2" s="22" t="s">
        <v>3441</v>
      </c>
      <c r="H2" s="23"/>
      <c r="I2" s="1">
        <f ca="1">IF(F2&gt;0,1,"")</f>
        <v>1</v>
      </c>
      <c r="J2" s="28" t="s">
        <v>3442</v>
      </c>
      <c r="K2" s="32">
        <v>43703</v>
      </c>
      <c r="L2" s="38" t="str">
        <f ca="1">UPPER(BangKeTru!M8)</f>
        <v>89A</v>
      </c>
      <c r="M2" s="18">
        <v>43717</v>
      </c>
      <c r="N2" s="29" t="str">
        <f ca="1" t="array" ref="N2">_xlfn.TEXTJOIN(", ",TRUE,IF(($M2=BangKeTru!$B:$B)*(BangKeTru!Z:Z&gt;0),BangKeTru!$M:$M,""))</f>
        <v>90a, 91a, 97a, 98a, 99a, 102a, 105a, 106a, 107a, 108a, 111a, 111b, 114a, 115, 116a, 117a, 123a, 124a, 127a, 128a, 131a, 133a</v>
      </c>
      <c r="O2" s="29" t="str">
        <f ca="1" t="array" ref="O2">_xlfn.TEXTJOIN(", ",TRUE,IF(($M2=BangKeTru!$B:$B)*(BangKeTru!AA:AA&gt;0),BangKeTru!$M:$M,""))</f>
        <v>92a, 93a, 94a, 96a, 100a, 102, 103a, 104a, 107, 109a, 110a, 112a, 115a, 118a, 119a, 125a, 126a, 128, 129a, 130a, 134a, 135a</v>
      </c>
      <c r="P2" s="29" t="str">
        <f ca="1" t="array" ref="P2">_xlfn.TEXTJOIN(", ",TRUE,IF(($M2=BangKeTru!$B:$B)*(BangKeTru!AB:AB&gt;0),BangKeTru!$M:$M,""))</f>
        <v>89a, 95a, 101a, 113a, 120a, 129, 136a</v>
      </c>
      <c r="Q2" s="29" t="str">
        <f ca="1" t="array" ref="Q2">_xlfn.TEXTJOIN(", ",TRUE,IF(($M2=BangKeTru!$B:$B)*(BangKeTru!AC:AC&gt;0),BangKeTru!$M:$M,""))</f>
        <v>101, 106, 116, 123, 127</v>
      </c>
      <c r="R2" s="29" t="str">
        <f ca="1" t="array" ref="R2">_xlfn.TEXTJOIN(", ",TRUE,IF(($M2=BangKeTru!$B:$B)*(BangKeTru!AD:AD&gt;0),BangKeTru!$M:$M,""))</f>
        <v>107, 128, 134</v>
      </c>
      <c r="S2" s="29" t="str">
        <f ca="1" t="array" ref="S2">"90, 110"</f>
        <v>90, 110</v>
      </c>
      <c r="T2" s="29" t="str">
        <f ca="1" t="array" ref="T2">_xlfn.TEXTJOIN(", ",TRUE,IF(($M2=BangKeTru!$B:$B)*(BangKeTru!AF:AF&gt;0),BangKeTru!$M:$M,""))</f>
        <v/>
      </c>
      <c r="U2" s="29" t="str">
        <f ca="1" t="array" ref="U2">_xlfn.TEXTJOIN(", ",TRUE,IF(($M2=BangKeTru!$B:$B)*(BangKeTru!AG:AG&gt;0),BangKeTru!$M:$M,""))</f>
        <v/>
      </c>
      <c r="V2" s="29" t="str">
        <f ca="1" t="array" ref="V2">_xlfn.TEXTJOIN(", ",TRUE,IF(($M2=BangKeTru!$B:$B)*(BangKeTru!AH:AH&gt;0),BangKeTru!$M:$M,""))</f>
        <v>102</v>
      </c>
      <c r="W2" s="29" t="str">
        <f ca="1" t="array" ref="W2">_xlfn.TEXTJOIN(", ",TRUE,IF(($M2=BangKeTru!$B:$B)*(BangKeTru!AI:AI&gt;0),BangKeTru!$M:$M,""))</f>
        <v/>
      </c>
    </row>
    <row r="3" ht="67.2" spans="2:23">
      <c r="B3" s="1" t="s">
        <v>2874</v>
      </c>
      <c r="C3" s="12">
        <f ca="1">SUM($I$2:I3)</f>
        <v>2</v>
      </c>
      <c r="D3" s="14" t="s">
        <v>3443</v>
      </c>
      <c r="E3" s="21">
        <f ca="1">HLOOKUP(B3,BangKeTru!$1:$184,184,0)</f>
        <v>40</v>
      </c>
      <c r="F3" s="21">
        <f ca="1" t="shared" si="0"/>
        <v>17</v>
      </c>
      <c r="G3" s="22" t="s">
        <v>3441</v>
      </c>
      <c r="H3" s="23"/>
      <c r="I3" s="1">
        <f ca="1" t="shared" ref="I3:I11" si="1">IF(F3&gt;0,1,0)</f>
        <v>1</v>
      </c>
      <c r="J3" s="28" t="str">
        <f ca="1">UPPER(HLOOKUP($B3,$1:$3,$J$1+1,0))</f>
        <v>137A, 138A, 139B, 147A, 148A, 149A, 153A, 155A, 156A, 158A, 160A, 165A, 167A, 169A, 170A, 172A, 173A</v>
      </c>
      <c r="K3" s="32">
        <v>43703</v>
      </c>
      <c r="L3" s="38" t="str">
        <f ca="1">UPPER(BangKeTru!M9)</f>
        <v>90</v>
      </c>
      <c r="M3" s="18">
        <v>43506</v>
      </c>
      <c r="N3" s="29" t="str">
        <f ca="1" t="array" ref="N3">_xlfn.TEXTJOIN(", ",TRUE,IF(($M3=BangKeTru!$B:$B)*(BangKeTru!Z:Z&gt;0),BangKeTru!$M:$M,""))</f>
        <v>140a, 141a, 143a, 144a, 145B, 146a, 150a, 151a, 152a, 154a, 159a, 162a, 163a, 168a</v>
      </c>
      <c r="O3" s="29" t="str">
        <f ca="1" t="array" ref="O3">_xlfn.TEXTJOIN(", ",TRUE,IF(($M3=BangKeTru!$B:$B)*(BangKeTru!AA:AA&gt;0),BangKeTru!$M:$M,""))</f>
        <v>137a, 138a, 139B, 147a, 148a, 149a, 153a, 155a, 156a, 158a, 160a, 165a, 167a, 169a, 170a, 172a, 173a</v>
      </c>
      <c r="P3" s="29" t="str">
        <f ca="1" t="array" ref="P3">_xlfn.TEXTJOIN(", ",TRUE,IF(($M3=BangKeTru!$B:$B)*(BangKeTru!AB:AB&gt;0),BangKeTru!$M:$M,""))</f>
        <v>142a, 157a, 164a</v>
      </c>
      <c r="Q3" s="29" t="str">
        <f ca="1" t="array" ref="Q3">_xlfn.TEXTJOIN(", ",TRUE,IF(($M3=BangKeTru!$B:$B)*(BangKeTru!AC:AC&gt;0),BangKeTru!$M:$M,""))</f>
        <v>137, 147, 148, 150, 161, 164, 169, 171, 171a, 172</v>
      </c>
      <c r="R3" s="29" t="str">
        <f ca="1" t="array" ref="R3">_xlfn.TEXTJOIN(", ",TRUE,IF(($M3=BangKeTru!$B:$B)*(BangKeTru!AD:AD&gt;0),BangKeTru!$M:$M,""))</f>
        <v>145, 153</v>
      </c>
      <c r="S3" s="29" t="str">
        <f ca="1" t="array" ref="S3">_xlfn.TEXTJOIN(", ",TRUE,IF(($M3=BangKeTru!$B:$B)*(BangKeTru!AE:AE&gt;0),BangKeTru!$M:$M,""))</f>
        <v>167</v>
      </c>
      <c r="T3" s="29" t="str">
        <f ca="1" t="array" ref="T3">_xlfn.TEXTJOIN(", ",TRUE,IF(($M3=BangKeTru!$B:$B)*(BangKeTru!AF:AF&gt;0),BangKeTru!$M:$M,""))</f>
        <v>150, 171a</v>
      </c>
      <c r="U3" s="29" t="str">
        <f ca="1" t="array" ref="U3">_xlfn.TEXTJOIN(", ",TRUE,IF(($M3=BangKeTru!$B:$B)*(BangKeTru!AG:AG&gt;0),BangKeTru!$M:$M,""))</f>
        <v>171</v>
      </c>
      <c r="V3" s="29" t="str">
        <f ca="1" t="array" ref="V3">_xlfn.TEXTJOIN(", ",TRUE,IF(($M3=BangKeTru!$B:$B)*(BangKeTru!AH:AH&gt;0),BangKeTru!$M:$M,""))</f>
        <v/>
      </c>
      <c r="W3" s="29" t="str">
        <f ca="1" t="array" ref="W3">_xlfn.TEXTJOIN(", ",TRUE,IF(($M3=BangKeTru!$B:$B)*(BangKeTru!AI:AI&gt;0),BangKeTru!$M:$M,""))</f>
        <v>171, 171a</v>
      </c>
    </row>
    <row r="4" s="1" customFormat="1" ht="33.6" spans="2:21">
      <c r="B4" s="1" t="s">
        <v>2898</v>
      </c>
      <c r="C4" s="12">
        <f ca="1">SUM($I$2:I4)</f>
        <v>3</v>
      </c>
      <c r="D4" s="14" t="str">
        <f ca="1">VLOOKUP(B4,DonGia,3,0)&amp;" tại các vị trí: "&amp;J4</f>
        <v>Móng bê tông trụ đôi 12m tại các vị trí: 142A, 157A, 164A</v>
      </c>
      <c r="E4" s="21">
        <f ca="1">HLOOKUP(B4,BangKeTru!$1:$184,184,0)</f>
        <v>10</v>
      </c>
      <c r="F4" s="21">
        <f ca="1" t="shared" si="0"/>
        <v>3</v>
      </c>
      <c r="G4" s="22" t="s">
        <v>3441</v>
      </c>
      <c r="H4" s="23"/>
      <c r="I4" s="1">
        <f ca="1" t="shared" si="1"/>
        <v>1</v>
      </c>
      <c r="J4" s="28" t="str">
        <f ca="1">UPPER(HLOOKUP($B4,$1:$3,$J$1+1,0))</f>
        <v>142A, 157A, 164A</v>
      </c>
      <c r="K4" s="32">
        <v>43703</v>
      </c>
      <c r="L4" s="38" t="str">
        <f ca="1">UPPER(BangKeTru!M10)</f>
        <v>90A</v>
      </c>
      <c r="M4" s="18"/>
      <c r="N4" s="29"/>
      <c r="U4" s="29"/>
    </row>
    <row r="5" s="1" customFormat="1" ht="33.6" spans="2:21">
      <c r="B5" s="1" t="s">
        <v>2906</v>
      </c>
      <c r="C5" s="12">
        <f ca="1">SUM($I$2:I5)</f>
        <v>4</v>
      </c>
      <c r="D5" s="14" t="str">
        <f ca="1">VLOOKUP(B5,DonGia,3,0)&amp;" tại các vị trí: "&amp;J5</f>
        <v>Móng M14a tại các vị trí: 137, 147, 148, 150, 161, 164, 169, 171, 171A, 172</v>
      </c>
      <c r="E5" s="21">
        <f ca="1">HLOOKUP(B5,BangKeTru!$1:$184,184,0)</f>
        <v>15</v>
      </c>
      <c r="F5" s="21">
        <f ca="1" t="shared" si="0"/>
        <v>10</v>
      </c>
      <c r="G5" s="22" t="s">
        <v>3441</v>
      </c>
      <c r="H5" s="23"/>
      <c r="I5" s="1">
        <f ca="1" t="shared" si="1"/>
        <v>1</v>
      </c>
      <c r="J5" s="28" t="str">
        <f ca="1">UPPER(HLOOKUP($B5,$1:$3,$J$1+1,0))</f>
        <v>137, 147, 148, 150, 161, 164, 169, 171, 171A, 172</v>
      </c>
      <c r="K5" s="32">
        <v>43703</v>
      </c>
      <c r="L5" s="38" t="str">
        <f ca="1">UPPER(BangKeTru!M11)</f>
        <v>91</v>
      </c>
      <c r="M5" s="18"/>
      <c r="N5" s="29"/>
      <c r="U5" s="29"/>
    </row>
    <row r="6" s="1" customFormat="1" ht="33.6" spans="2:21">
      <c r="B6" s="1" t="s">
        <v>3070</v>
      </c>
      <c r="C6" s="24">
        <f ca="1">SUM($I$2:I6)</f>
        <v>5</v>
      </c>
      <c r="D6" s="14" t="str">
        <f ca="1">VLOOKUP(B6,DonGia,3,0)&amp;" tại các vị trí: "&amp;J6</f>
        <v>Bộ chằng xuống đơn cho trụ 12m: CX12-B tại các vị trí: 145, 153</v>
      </c>
      <c r="E6" s="21">
        <f ca="1">HLOOKUP(B6,BangKeTru!$1:$184,184,0)</f>
        <v>7</v>
      </c>
      <c r="F6" s="21">
        <f ca="1" t="shared" si="0"/>
        <v>2</v>
      </c>
      <c r="G6" s="22" t="s">
        <v>3441</v>
      </c>
      <c r="H6" s="13"/>
      <c r="I6" s="1">
        <f ca="1" t="shared" si="1"/>
        <v>1</v>
      </c>
      <c r="J6" s="28" t="str">
        <f ca="1">UPPER(HLOOKUP($B6,$1:$3,$J$1+1,0))</f>
        <v>145, 153</v>
      </c>
      <c r="K6" s="32">
        <v>43703</v>
      </c>
      <c r="L6" s="38" t="str">
        <f ca="1">UPPER(BangKeTru!M12)</f>
        <v>91A</v>
      </c>
      <c r="M6" s="18"/>
      <c r="N6" s="29"/>
      <c r="U6" s="29"/>
    </row>
    <row r="7" s="1" customFormat="1" ht="33.6" spans="2:21">
      <c r="B7" s="1" t="s">
        <v>3074</v>
      </c>
      <c r="C7" s="24">
        <f ca="1">SUM($I$2:I7)</f>
        <v>6</v>
      </c>
      <c r="D7" s="14" t="str">
        <f ca="1">VLOOKUP(B7,DonGia,3,0)&amp;" tại các vị trí: "&amp;J7</f>
        <v>Bộ chằng lệch đơn cho trụ 12m: CL12-B tại các vị trí: 167</v>
      </c>
      <c r="E7" s="21">
        <f ca="1">HLOOKUP(B7,BangKeTru!$1:$184,184,0)</f>
        <v>3</v>
      </c>
      <c r="F7" s="21">
        <f ca="1" t="shared" si="0"/>
        <v>1</v>
      </c>
      <c r="G7" s="22" t="s">
        <v>3441</v>
      </c>
      <c r="H7" s="13"/>
      <c r="I7" s="1">
        <f ca="1" t="shared" si="1"/>
        <v>1</v>
      </c>
      <c r="J7" s="28" t="str">
        <f ca="1">UPPER(HLOOKUP($B7,$1:$3,$J$1+1,0))</f>
        <v>167</v>
      </c>
      <c r="K7" s="32">
        <v>43703</v>
      </c>
      <c r="L7" s="38" t="str">
        <f ca="1">UPPER(BangKeTru!M13)</f>
        <v>92</v>
      </c>
      <c r="M7" s="18"/>
      <c r="N7" s="29"/>
      <c r="U7" s="29"/>
    </row>
    <row r="8" ht="33.6" hidden="1" spans="2:21">
      <c r="B8" s="1" t="s">
        <v>3078</v>
      </c>
      <c r="C8" s="24">
        <f ca="1">SUM($I$2:I8)</f>
        <v>7</v>
      </c>
      <c r="D8" s="14" t="str">
        <f ca="1">VLOOKUP(B8,DonGia,3,0)&amp;" tại các vị trí: "&amp;J8</f>
        <v>Bộ chằng xuống đơn cho trụ 14m: CX14-B tại các vị trí: 150, 171A</v>
      </c>
      <c r="E8" s="21">
        <f ca="1">HLOOKUP(B8,BangKeTru!$1:$184,184,0)</f>
        <v>2</v>
      </c>
      <c r="F8" s="21">
        <f ca="1" t="shared" si="0"/>
        <v>2</v>
      </c>
      <c r="G8" s="22" t="s">
        <v>3441</v>
      </c>
      <c r="H8" s="13"/>
      <c r="I8" s="1">
        <f ca="1" t="shared" si="1"/>
        <v>1</v>
      </c>
      <c r="J8" s="28" t="str">
        <f ca="1">UPPER(HLOOKUP($B8,$1:$3,$J$1+1,0))</f>
        <v>150, 171A</v>
      </c>
      <c r="K8" s="32">
        <v>43703</v>
      </c>
      <c r="L8" s="38" t="str">
        <f ca="1">UPPER(BangKeTru!M14)</f>
        <v>92A</v>
      </c>
      <c r="N8" s="29"/>
      <c r="U8" s="29"/>
    </row>
    <row r="9" ht="33.6" hidden="1" spans="2:21">
      <c r="B9" s="1" t="s">
        <v>3082</v>
      </c>
      <c r="C9" s="24">
        <f ca="1">SUM($I$2:I9)</f>
        <v>8</v>
      </c>
      <c r="D9" s="14" t="str">
        <f ca="1">VLOOKUP(B9,DonGia,3,0)&amp;" tại các vị trí: "&amp;J9</f>
        <v>Bộ chằng xuống kép cho trụ 14m: CXX14-B tại các vị trí: 171</v>
      </c>
      <c r="E9" s="21">
        <f ca="1">HLOOKUP(B9,BangKeTru!$1:$184,184,0)</f>
        <v>2</v>
      </c>
      <c r="F9" s="21">
        <f ca="1" t="shared" si="0"/>
        <v>1</v>
      </c>
      <c r="G9" s="22" t="s">
        <v>3441</v>
      </c>
      <c r="H9" s="13"/>
      <c r="I9" s="1">
        <f ca="1" t="shared" si="1"/>
        <v>1</v>
      </c>
      <c r="J9" s="28" t="str">
        <f ca="1">UPPER(HLOOKUP($B9,$1:$3,$J$1+1,0))</f>
        <v>171</v>
      </c>
      <c r="K9" s="32">
        <v>43703</v>
      </c>
      <c r="L9" s="38" t="str">
        <f ca="1">UPPER(BangKeTru!M15)</f>
        <v>93</v>
      </c>
      <c r="N9" s="29"/>
      <c r="U9" s="29"/>
    </row>
    <row r="10" ht="33.6" spans="2:21">
      <c r="B10" s="1" t="s">
        <v>3084</v>
      </c>
      <c r="C10" s="24">
        <f ca="1">SUM($I$2:I10)</f>
        <v>8</v>
      </c>
      <c r="D10" s="14" t="str">
        <f ca="1">VLOOKUP(B10,DonGia,3,0)&amp;" tại các vị trí: "&amp;J10</f>
        <v>Bộ chằng vượt đơn: CK-B tại các vị trí: </v>
      </c>
      <c r="E10" s="21">
        <v>1</v>
      </c>
      <c r="F10" s="21">
        <f ca="1" t="shared" si="0"/>
        <v>0</v>
      </c>
      <c r="G10" s="22" t="s">
        <v>3441</v>
      </c>
      <c r="H10" s="13"/>
      <c r="I10" s="1">
        <f ca="1" t="shared" si="1"/>
        <v>0</v>
      </c>
      <c r="J10" s="28" t="str">
        <f ca="1">UPPER(HLOOKUP($B10,$1:$3,$J$1+1,0))</f>
        <v/>
      </c>
      <c r="K10" s="32">
        <v>43703</v>
      </c>
      <c r="L10" s="38" t="str">
        <f ca="1">UPPER(BangKeTru!M16)</f>
        <v>93A</v>
      </c>
      <c r="N10" s="29"/>
      <c r="U10" s="29"/>
    </row>
    <row r="11" ht="35.4" hidden="1" customHeight="1" spans="2:21">
      <c r="B11" s="30" t="s">
        <v>3112</v>
      </c>
      <c r="C11" s="24">
        <f ca="1">SUM($I$2:I11)</f>
        <v>9</v>
      </c>
      <c r="D11" s="14" t="str">
        <f ca="1">VLOOKUP(B11,DonGia,3,0)&amp;" tại các vị trí: "&amp;J11</f>
        <v>Bộ móng neo xòe cho chằng xuống: NXX tại các vị trí: 171, 171A</v>
      </c>
      <c r="E11" s="21">
        <f ca="1">HLOOKUP(B11,BangKeTru!$1:$184,184,0)</f>
        <v>2</v>
      </c>
      <c r="F11" s="21">
        <f ca="1" t="shared" si="0"/>
        <v>2</v>
      </c>
      <c r="G11" s="22" t="s">
        <v>3441</v>
      </c>
      <c r="H11" s="13"/>
      <c r="I11" s="1">
        <f ca="1" t="shared" si="1"/>
        <v>1</v>
      </c>
      <c r="J11" s="28" t="str">
        <f ca="1">UPPER(HLOOKUP($B11,$1:$3,$J$1+1,0))</f>
        <v>171, 171A</v>
      </c>
      <c r="K11" s="32">
        <v>43703</v>
      </c>
      <c r="L11" s="38" t="str">
        <f ca="1">UPPER(BangKeTru!M17)</f>
        <v>94</v>
      </c>
      <c r="N11" s="29"/>
      <c r="U11" s="29"/>
    </row>
    <row r="12" ht="29.4" customHeight="1" spans="3:14">
      <c r="C12" s="24"/>
      <c r="D12" s="5" t="s">
        <v>3444</v>
      </c>
      <c r="E12" s="25">
        <f ca="1">SUM(E2:E11)</f>
        <v>118</v>
      </c>
      <c r="F12" s="25">
        <f ca="1">SUM(F2:F11)</f>
        <v>52</v>
      </c>
      <c r="G12" s="24"/>
      <c r="H12" s="13"/>
      <c r="I12" s="1">
        <v>1</v>
      </c>
      <c r="J12" s="1"/>
      <c r="K12" s="32">
        <v>43704</v>
      </c>
      <c r="L12" s="38" t="str">
        <f ca="1">UPPER(BangKeTru!M18)</f>
        <v>94A</v>
      </c>
      <c r="N12" s="29"/>
    </row>
    <row r="13" ht="18" customHeight="1" spans="11:14">
      <c r="K13" s="32">
        <v>43704</v>
      </c>
      <c r="L13" s="38" t="str">
        <f ca="1">UPPER(BangKeTru!M19)</f>
        <v>95</v>
      </c>
      <c r="N13" s="29"/>
    </row>
    <row r="14" ht="21" customHeight="1" spans="3:14">
      <c r="C14" s="29"/>
      <c r="D14" s="29"/>
      <c r="K14" s="32">
        <v>43704</v>
      </c>
      <c r="L14" s="38" t="str">
        <f ca="1">UPPER(BangKeTru!M20)</f>
        <v>95A</v>
      </c>
      <c r="N14" s="29"/>
    </row>
    <row r="15" ht="21" customHeight="1" spans="3:14">
      <c r="C15" s="29"/>
      <c r="D15" s="29"/>
      <c r="K15" s="32">
        <v>43704</v>
      </c>
      <c r="L15" s="38" t="str">
        <f ca="1">UPPER(BangKeTru!M21)</f>
        <v>96</v>
      </c>
      <c r="N15" s="29"/>
    </row>
    <row r="16" ht="21" customHeight="1" spans="3:14">
      <c r="C16" s="29"/>
      <c r="D16" s="29"/>
      <c r="K16" s="32">
        <v>43704</v>
      </c>
      <c r="L16" s="38" t="str">
        <f ca="1">UPPER(BangKeTru!M22)</f>
        <v>96A</v>
      </c>
      <c r="N16" s="29"/>
    </row>
    <row r="17" ht="21" customHeight="1" spans="3:14">
      <c r="C17" s="29"/>
      <c r="D17" s="29"/>
      <c r="K17" s="32">
        <v>43704</v>
      </c>
      <c r="L17" s="38" t="str">
        <f ca="1">UPPER(BangKeTru!M23)</f>
        <v>97</v>
      </c>
      <c r="N17" s="29"/>
    </row>
    <row r="18" ht="21" customHeight="1" spans="3:14">
      <c r="C18" s="29"/>
      <c r="D18" s="29"/>
      <c r="K18" s="32">
        <v>43704</v>
      </c>
      <c r="L18" s="38" t="str">
        <f ca="1">UPPER(BangKeTru!M24)</f>
        <v>97A</v>
      </c>
      <c r="N18" s="29"/>
    </row>
    <row r="19" ht="21" customHeight="1" spans="3:14">
      <c r="C19" s="29"/>
      <c r="D19" s="29"/>
      <c r="K19" s="32">
        <v>43704</v>
      </c>
      <c r="L19" s="38" t="str">
        <f ca="1">UPPER(BangKeTru!M25)</f>
        <v>98</v>
      </c>
      <c r="N19" s="29"/>
    </row>
    <row r="20" ht="21" customHeight="1" spans="3:12">
      <c r="C20" s="33"/>
      <c r="D20" s="29"/>
      <c r="K20" s="32">
        <v>43705</v>
      </c>
      <c r="L20" s="38" t="str">
        <f ca="1">UPPER(BangKeTru!M26)</f>
        <v>98A</v>
      </c>
    </row>
    <row r="21" ht="21" customHeight="1" spans="3:12">
      <c r="C21" s="34"/>
      <c r="D21" s="29"/>
      <c r="K21" s="32">
        <v>43705</v>
      </c>
      <c r="L21" s="38" t="str">
        <f ca="1">UPPER(BangKeTru!M27)</f>
        <v>99</v>
      </c>
    </row>
    <row r="22" spans="4:12">
      <c r="D22" s="33"/>
      <c r="K22" s="32">
        <v>43705</v>
      </c>
      <c r="L22" s="38" t="str">
        <f ca="1">UPPER(BangKeTru!M28)</f>
        <v>99A</v>
      </c>
    </row>
    <row r="23" spans="3:12">
      <c r="C23" s="35"/>
      <c r="D23" s="35"/>
      <c r="F23" s="35"/>
      <c r="K23" s="32">
        <v>43705</v>
      </c>
      <c r="L23" s="38" t="str">
        <f ca="1">UPPER(BangKeTru!M29)</f>
        <v>100</v>
      </c>
    </row>
    <row r="24" spans="3:12">
      <c r="C24" s="35"/>
      <c r="D24" s="1"/>
      <c r="F24" s="35"/>
      <c r="K24" s="32">
        <v>43705</v>
      </c>
      <c r="L24" s="38" t="str">
        <f ca="1">UPPER(BangKeTru!M30)</f>
        <v>100A</v>
      </c>
    </row>
    <row r="25" spans="3:12">
      <c r="C25" s="35"/>
      <c r="D25" s="1"/>
      <c r="F25" s="35"/>
      <c r="K25" s="32">
        <v>43705</v>
      </c>
      <c r="L25" s="38" t="str">
        <f ca="1">UPPER(BangKeTru!M31)</f>
        <v>101</v>
      </c>
    </row>
    <row r="26" spans="3:12">
      <c r="C26" s="35"/>
      <c r="D26" s="1"/>
      <c r="F26" s="35"/>
      <c r="K26" s="32">
        <v>43705</v>
      </c>
      <c r="L26" s="38" t="str">
        <f ca="1">UPPER(BangKeTru!M32)</f>
        <v>101A</v>
      </c>
    </row>
    <row r="27" spans="3:12">
      <c r="C27" s="35"/>
      <c r="D27" s="35"/>
      <c r="F27" s="35"/>
      <c r="K27" s="32">
        <v>43705</v>
      </c>
      <c r="L27" s="38" t="str">
        <f ca="1">UPPER(BangKeTru!M33)</f>
        <v>102</v>
      </c>
    </row>
    <row r="28" spans="11:12">
      <c r="K28" s="32">
        <v>43705</v>
      </c>
      <c r="L28" s="38" t="str">
        <f ca="1">UPPER(BangKeTru!M34)</f>
        <v>102A</v>
      </c>
    </row>
    <row r="29" spans="11:12">
      <c r="K29" s="32">
        <v>43705</v>
      </c>
      <c r="L29" s="38" t="str">
        <f ca="1">UPPER(BangKeTru!M35)</f>
        <v>103</v>
      </c>
    </row>
    <row r="30" spans="11:12">
      <c r="K30" s="32">
        <v>43706</v>
      </c>
      <c r="L30" s="38" t="str">
        <f ca="1">UPPER(BangKeTru!M36)</f>
        <v>103A</v>
      </c>
    </row>
    <row r="31" spans="11:12">
      <c r="K31" s="32">
        <v>43706</v>
      </c>
      <c r="L31" s="38" t="str">
        <f ca="1">UPPER(BangKeTru!M37)</f>
        <v>104</v>
      </c>
    </row>
    <row r="32" spans="11:12">
      <c r="K32" s="32">
        <v>43706</v>
      </c>
      <c r="L32" s="38" t="str">
        <f ca="1">UPPER(BangKeTru!M38)</f>
        <v>104A</v>
      </c>
    </row>
    <row r="33" spans="11:12">
      <c r="K33" s="32">
        <v>43706</v>
      </c>
      <c r="L33" s="38" t="str">
        <f ca="1">UPPER(BangKeTru!M39)</f>
        <v>105</v>
      </c>
    </row>
    <row r="34" spans="11:12">
      <c r="K34" s="32">
        <v>43706</v>
      </c>
      <c r="L34" s="38" t="str">
        <f ca="1">UPPER(BangKeTru!M40)</f>
        <v>105A</v>
      </c>
    </row>
    <row r="35" spans="11:12">
      <c r="K35" s="32">
        <v>43706</v>
      </c>
      <c r="L35" s="38" t="str">
        <f ca="1">UPPER(BangKeTru!M41)</f>
        <v>106</v>
      </c>
    </row>
    <row r="36" spans="11:12">
      <c r="K36" s="32">
        <v>43706</v>
      </c>
      <c r="L36" s="38" t="str">
        <f ca="1">UPPER(BangKeTru!M42)</f>
        <v>106A</v>
      </c>
    </row>
    <row r="37" spans="11:12">
      <c r="K37" s="32">
        <v>43706</v>
      </c>
      <c r="L37" s="38" t="str">
        <f ca="1">UPPER(BangKeTru!M43)</f>
        <v>107</v>
      </c>
    </row>
    <row r="38" spans="11:12">
      <c r="K38" s="32">
        <v>43706</v>
      </c>
      <c r="L38" s="38" t="str">
        <f ca="1">UPPER(BangKeTru!M44)</f>
        <v>107A</v>
      </c>
    </row>
    <row r="39" spans="11:12">
      <c r="K39" s="32">
        <v>43706</v>
      </c>
      <c r="L39" s="38" t="str">
        <f ca="1">UPPER(BangKeTru!M45)</f>
        <v>108</v>
      </c>
    </row>
    <row r="40" spans="11:12">
      <c r="K40" s="32">
        <v>43706</v>
      </c>
      <c r="L40" s="38" t="str">
        <f ca="1">UPPER(BangKeTru!M46)</f>
        <v>108A</v>
      </c>
    </row>
    <row r="41" spans="11:12">
      <c r="K41" s="32">
        <v>43706</v>
      </c>
      <c r="L41" s="38" t="str">
        <f ca="1">UPPER(BangKeTru!M47)</f>
        <v>109</v>
      </c>
    </row>
    <row r="42" spans="11:12">
      <c r="K42" s="32">
        <v>43706</v>
      </c>
      <c r="L42" s="38" t="str">
        <f ca="1">UPPER(BangKeTru!M48)</f>
        <v>109A</v>
      </c>
    </row>
    <row r="43" spans="11:12">
      <c r="K43" s="32">
        <v>43706</v>
      </c>
      <c r="L43" s="38" t="str">
        <f ca="1">UPPER(BangKeTru!M49)</f>
        <v>110</v>
      </c>
    </row>
    <row r="44" spans="11:12">
      <c r="K44" s="32">
        <v>43706</v>
      </c>
      <c r="L44" s="38" t="str">
        <f ca="1">UPPER(BangKeTru!M50)</f>
        <v>110A</v>
      </c>
    </row>
    <row r="45" spans="11:12">
      <c r="K45" s="32">
        <v>43706</v>
      </c>
      <c r="L45" s="38" t="str">
        <f ca="1">UPPER(BangKeTru!M51)</f>
        <v>111</v>
      </c>
    </row>
    <row r="46" spans="11:12">
      <c r="K46" s="32">
        <v>43706</v>
      </c>
      <c r="L46" s="38" t="str">
        <f ca="1">UPPER(BangKeTru!M52)</f>
        <v>111A</v>
      </c>
    </row>
    <row r="47" spans="11:12">
      <c r="K47" s="32">
        <v>43706</v>
      </c>
      <c r="L47" s="38" t="str">
        <f ca="1">UPPER(BangKeTru!M53)</f>
        <v>111B</v>
      </c>
    </row>
    <row r="48" spans="11:12">
      <c r="K48" s="32">
        <v>43706</v>
      </c>
      <c r="L48" s="38" t="str">
        <f ca="1">UPPER(BangKeTru!M54)</f>
        <v>112</v>
      </c>
    </row>
    <row r="49" spans="11:12">
      <c r="K49" s="32">
        <v>43706</v>
      </c>
      <c r="L49" s="38" t="str">
        <f ca="1">UPPER(BangKeTru!M55)</f>
        <v>112A</v>
      </c>
    </row>
    <row r="50" spans="11:12">
      <c r="K50" s="32">
        <v>43707</v>
      </c>
      <c r="L50" s="38" t="str">
        <f ca="1">UPPER(BangKeTru!M56)</f>
        <v>113</v>
      </c>
    </row>
    <row r="51" spans="11:12">
      <c r="K51" s="32">
        <v>43707</v>
      </c>
      <c r="L51" s="38" t="str">
        <f ca="1">UPPER(BangKeTru!M57)</f>
        <v>113A</v>
      </c>
    </row>
    <row r="52" spans="11:12">
      <c r="K52" s="32">
        <v>43707</v>
      </c>
      <c r="L52" s="38" t="str">
        <f ca="1">UPPER(BangKeTru!M58)</f>
        <v>114</v>
      </c>
    </row>
    <row r="53" spans="11:12">
      <c r="K53" s="32">
        <v>43707</v>
      </c>
      <c r="L53" s="38" t="str">
        <f ca="1">UPPER(BangKeTru!M59)</f>
        <v>114A</v>
      </c>
    </row>
    <row r="54" spans="11:12">
      <c r="K54" s="32">
        <v>43707</v>
      </c>
      <c r="L54" s="38" t="str">
        <f ca="1">UPPER(BangKeTru!M60)</f>
        <v>115</v>
      </c>
    </row>
    <row r="55" spans="11:12">
      <c r="K55" s="32">
        <v>43707</v>
      </c>
      <c r="L55" s="38" t="str">
        <f ca="1">UPPER(BangKeTru!M61)</f>
        <v>115A</v>
      </c>
    </row>
    <row r="56" spans="11:12">
      <c r="K56" s="32">
        <v>43707</v>
      </c>
      <c r="L56" s="38" t="str">
        <f ca="1">UPPER(BangKeTru!M62)</f>
        <v>116</v>
      </c>
    </row>
    <row r="57" spans="11:12">
      <c r="K57" s="32">
        <v>43707</v>
      </c>
      <c r="L57" s="38" t="str">
        <f ca="1">UPPER(BangKeTru!M63)</f>
        <v>116A</v>
      </c>
    </row>
    <row r="58" spans="11:12">
      <c r="K58" s="32">
        <v>43707</v>
      </c>
      <c r="L58" s="38" t="str">
        <f ca="1">UPPER(BangKeTru!M64)</f>
        <v>117</v>
      </c>
    </row>
    <row r="59" spans="11:12">
      <c r="K59" s="32">
        <v>43707</v>
      </c>
      <c r="L59" s="38" t="str">
        <f ca="1">UPPER(BangKeTru!M65)</f>
        <v>117A</v>
      </c>
    </row>
    <row r="60" spans="11:12">
      <c r="K60" s="32">
        <v>43707</v>
      </c>
      <c r="L60" s="38" t="str">
        <f ca="1">UPPER(BangKeTru!M66)</f>
        <v>118</v>
      </c>
    </row>
    <row r="61" spans="11:12">
      <c r="K61" s="32">
        <v>43707</v>
      </c>
      <c r="L61" s="38" t="str">
        <f ca="1">UPPER(BangKeTru!M67)</f>
        <v>118A</v>
      </c>
    </row>
    <row r="62" spans="11:12">
      <c r="K62" s="32">
        <v>43707</v>
      </c>
      <c r="L62" s="38" t="str">
        <f ca="1">UPPER(BangKeTru!M68)</f>
        <v>119</v>
      </c>
    </row>
    <row r="63" spans="11:12">
      <c r="K63" s="32">
        <v>43711</v>
      </c>
      <c r="L63" s="38" t="str">
        <f ca="1">UPPER(BangKeTru!M69)</f>
        <v>119A</v>
      </c>
    </row>
    <row r="64" spans="11:12">
      <c r="K64" s="32">
        <v>43711</v>
      </c>
      <c r="L64" s="38" t="str">
        <f ca="1">UPPER(BangKeTru!M70)</f>
        <v>120</v>
      </c>
    </row>
    <row r="65" spans="11:12">
      <c r="K65" s="32">
        <v>43711</v>
      </c>
      <c r="L65" s="38" t="str">
        <f ca="1">UPPER(BangKeTru!M71)</f>
        <v>120A</v>
      </c>
    </row>
    <row r="66" spans="11:12">
      <c r="K66" s="32">
        <v>43711</v>
      </c>
      <c r="L66" s="38" t="str">
        <f ca="1">UPPER(BangKeTru!M72)</f>
        <v>121</v>
      </c>
    </row>
    <row r="67" spans="11:12">
      <c r="K67" s="32">
        <v>43711</v>
      </c>
      <c r="L67" s="38" t="str">
        <f ca="1">UPPER(BangKeTru!M73)</f>
        <v>121A</v>
      </c>
    </row>
    <row r="68" spans="11:12">
      <c r="K68" s="32">
        <v>43711</v>
      </c>
      <c r="L68" s="38" t="str">
        <f ca="1">UPPER(BangKeTru!M74)</f>
        <v>122</v>
      </c>
    </row>
    <row r="69" spans="11:12">
      <c r="K69" s="32">
        <v>43711</v>
      </c>
      <c r="L69" s="38" t="str">
        <f ca="1">UPPER(BangKeTru!M75)</f>
        <v>122A</v>
      </c>
    </row>
    <row r="70" spans="11:12">
      <c r="K70" s="32">
        <v>43711</v>
      </c>
      <c r="L70" s="38" t="str">
        <f ca="1">UPPER(BangKeTru!M76)</f>
        <v>123</v>
      </c>
    </row>
    <row r="71" spans="11:12">
      <c r="K71" s="32">
        <v>43711</v>
      </c>
      <c r="L71" s="38" t="str">
        <f ca="1">UPPER(BangKeTru!M77)</f>
        <v>123A</v>
      </c>
    </row>
    <row r="72" spans="11:12">
      <c r="K72" s="32">
        <v>43712</v>
      </c>
      <c r="L72" s="38" t="str">
        <f ca="1">UPPER(BangKeTru!M78)</f>
        <v>124</v>
      </c>
    </row>
    <row r="73" spans="11:12">
      <c r="K73" s="32">
        <v>43712</v>
      </c>
      <c r="L73" s="38" t="str">
        <f ca="1">UPPER(BangKeTru!M79)</f>
        <v>124A</v>
      </c>
    </row>
    <row r="74" spans="11:12">
      <c r="K74" s="32">
        <v>43712</v>
      </c>
      <c r="L74" s="38" t="str">
        <f ca="1">UPPER(BangKeTru!M80)</f>
        <v>125</v>
      </c>
    </row>
    <row r="75" spans="11:12">
      <c r="K75" s="32">
        <v>43712</v>
      </c>
      <c r="L75" s="38" t="str">
        <f ca="1">UPPER(BangKeTru!M81)</f>
        <v>125A</v>
      </c>
    </row>
    <row r="76" spans="11:12">
      <c r="K76" s="32">
        <v>43712</v>
      </c>
      <c r="L76" s="38" t="str">
        <f ca="1">UPPER(BangKeTru!M82)</f>
        <v>126</v>
      </c>
    </row>
    <row r="77" spans="11:12">
      <c r="K77" s="32">
        <v>43712</v>
      </c>
      <c r="L77" s="38" t="str">
        <f ca="1">UPPER(BangKeTru!M83)</f>
        <v>126A</v>
      </c>
    </row>
    <row r="78" spans="11:12">
      <c r="K78" s="32">
        <v>43712</v>
      </c>
      <c r="L78" s="38" t="str">
        <f ca="1">UPPER(BangKeTru!M84)</f>
        <v>127</v>
      </c>
    </row>
    <row r="79" spans="11:12">
      <c r="K79" s="32">
        <v>43712</v>
      </c>
      <c r="L79" s="38" t="str">
        <f ca="1">UPPER(BangKeTru!M85)</f>
        <v>127A</v>
      </c>
    </row>
    <row r="80" spans="11:12">
      <c r="K80" s="32">
        <v>43712</v>
      </c>
      <c r="L80" s="38" t="str">
        <f ca="1">UPPER(BangKeTru!M86)</f>
        <v>128</v>
      </c>
    </row>
    <row r="81" spans="11:12">
      <c r="K81" s="32">
        <v>43713</v>
      </c>
      <c r="L81" s="38" t="str">
        <f ca="1">UPPER(BangKeTru!M87)</f>
        <v>128A</v>
      </c>
    </row>
    <row r="82" spans="11:12">
      <c r="K82" s="32">
        <v>43713</v>
      </c>
      <c r="L82" s="38" t="str">
        <f ca="1">UPPER(BangKeTru!M88)</f>
        <v>129</v>
      </c>
    </row>
    <row r="83" spans="11:12">
      <c r="K83" s="32">
        <v>43713</v>
      </c>
      <c r="L83" s="38" t="str">
        <f ca="1">UPPER(BangKeTru!M89)</f>
        <v>129A</v>
      </c>
    </row>
    <row r="84" spans="11:12">
      <c r="K84" s="32">
        <v>43713</v>
      </c>
      <c r="L84" s="38" t="str">
        <f ca="1">UPPER(BangKeTru!M90)</f>
        <v>130</v>
      </c>
    </row>
    <row r="85" spans="11:12">
      <c r="K85" s="32">
        <v>43713</v>
      </c>
      <c r="L85" s="38" t="str">
        <f ca="1">UPPER(BangKeTru!M91)</f>
        <v>130A</v>
      </c>
    </row>
    <row r="86" spans="11:12">
      <c r="K86" s="32">
        <v>43713</v>
      </c>
      <c r="L86" s="38" t="str">
        <f ca="1">UPPER(BangKeTru!M92)</f>
        <v>131</v>
      </c>
    </row>
    <row r="87" spans="11:12">
      <c r="K87" s="32">
        <v>43713</v>
      </c>
      <c r="L87" s="38" t="str">
        <f ca="1">UPPER(BangKeTru!M93)</f>
        <v>131A</v>
      </c>
    </row>
    <row r="88" spans="11:12">
      <c r="K88" s="32">
        <v>43713</v>
      </c>
      <c r="L88" s="38" t="str">
        <f ca="1">UPPER(BangKeTru!M94)</f>
        <v>132</v>
      </c>
    </row>
    <row r="89" spans="11:12">
      <c r="K89" s="32">
        <v>43713</v>
      </c>
      <c r="L89" s="38" t="str">
        <f ca="1">UPPER(BangKeTru!M95)</f>
        <v>132A</v>
      </c>
    </row>
    <row r="90" spans="11:12">
      <c r="K90" s="32">
        <v>43713</v>
      </c>
      <c r="L90" s="38" t="str">
        <f ca="1">UPPER(BangKeTru!M96)</f>
        <v>132B</v>
      </c>
    </row>
    <row r="91" spans="11:12">
      <c r="K91" s="32">
        <v>43713</v>
      </c>
      <c r="L91" s="38" t="str">
        <f ca="1">UPPER(BangKeTru!M97)</f>
        <v>133</v>
      </c>
    </row>
    <row r="92" spans="11:12">
      <c r="K92" s="32">
        <v>43714</v>
      </c>
      <c r="L92" s="38" t="str">
        <f ca="1">UPPER(BangKeTru!M98)</f>
        <v>133A</v>
      </c>
    </row>
    <row r="93" spans="11:12">
      <c r="K93" s="32">
        <v>43714</v>
      </c>
      <c r="L93" s="38" t="str">
        <f ca="1">UPPER(BangKeTru!M99)</f>
        <v>134</v>
      </c>
    </row>
    <row r="94" spans="11:12">
      <c r="K94" s="32">
        <v>43714</v>
      </c>
      <c r="L94" s="38" t="str">
        <f ca="1">UPPER(BangKeTru!M100)</f>
        <v>134A</v>
      </c>
    </row>
    <row r="95" spans="11:12">
      <c r="K95" s="32">
        <v>43714</v>
      </c>
      <c r="L95" s="38" t="str">
        <f ca="1">UPPER(BangKeTru!M101)</f>
        <v>135</v>
      </c>
    </row>
    <row r="96" spans="11:12">
      <c r="K96" s="32">
        <v>43714</v>
      </c>
      <c r="L96" s="38" t="str">
        <f ca="1">UPPER(BangKeTru!M102)</f>
        <v>135A</v>
      </c>
    </row>
    <row r="97" spans="11:12">
      <c r="K97" s="32">
        <v>43714</v>
      </c>
      <c r="L97" s="38" t="str">
        <f ca="1">UPPER(BangKeTru!M103)</f>
        <v>136</v>
      </c>
    </row>
    <row r="98" spans="11:12">
      <c r="K98" s="32">
        <v>43714</v>
      </c>
      <c r="L98" s="38" t="str">
        <f ca="1">UPPER(BangKeTru!M104)</f>
        <v>136A</v>
      </c>
    </row>
    <row r="99" spans="11:12">
      <c r="K99" s="32">
        <v>43714</v>
      </c>
      <c r="L99" s="38" t="str">
        <f ca="1">UPPER(BangKeTru!M105)</f>
        <v>137</v>
      </c>
    </row>
    <row r="100" spans="11:12">
      <c r="K100" s="32">
        <v>43718</v>
      </c>
      <c r="L100" s="38" t="str">
        <f ca="1">UPPER(BangKeTru!M106)</f>
        <v>137A</v>
      </c>
    </row>
    <row r="101" spans="11:12">
      <c r="K101" s="32">
        <v>43718</v>
      </c>
      <c r="L101" s="38" t="str">
        <f ca="1">UPPER(BangKeTru!M107)</f>
        <v>138</v>
      </c>
    </row>
    <row r="102" spans="11:12">
      <c r="K102" s="32">
        <v>43718</v>
      </c>
      <c r="L102" s="38" t="str">
        <f ca="1">UPPER(BangKeTru!M108)</f>
        <v>138A</v>
      </c>
    </row>
    <row r="103" spans="11:12">
      <c r="K103" s="32">
        <v>43718</v>
      </c>
      <c r="L103" s="38" t="str">
        <f ca="1">UPPER(BangKeTru!M109)</f>
        <v>139</v>
      </c>
    </row>
    <row r="104" spans="11:12">
      <c r="K104" s="32">
        <v>43718</v>
      </c>
      <c r="L104" s="38" t="str">
        <f ca="1">UPPER(BangKeTru!M110)</f>
        <v>139B</v>
      </c>
    </row>
    <row r="105" spans="11:12">
      <c r="K105" s="32">
        <v>43718</v>
      </c>
      <c r="L105" s="38" t="str">
        <f ca="1">UPPER(BangKeTru!M111)</f>
        <v>139A</v>
      </c>
    </row>
    <row r="106" spans="11:23">
      <c r="K106" s="32">
        <v>43718</v>
      </c>
      <c r="L106" s="38" t="str">
        <f ca="1">UPPER(BangKeTru!M112)</f>
        <v>140</v>
      </c>
      <c r="W106" s="30" t="str">
        <f ca="1">$W$1</f>
        <v>NXX</v>
      </c>
    </row>
    <row r="107" spans="11:23">
      <c r="K107" s="32">
        <v>43718</v>
      </c>
      <c r="L107" s="38" t="str">
        <f ca="1">UPPER(BangKeTru!M113)</f>
        <v>140A</v>
      </c>
      <c r="W107" s="30" t="str">
        <f ca="1">$W$1</f>
        <v>NXX</v>
      </c>
    </row>
    <row r="108" spans="11:23">
      <c r="K108" s="32">
        <v>43719</v>
      </c>
      <c r="L108" s="38" t="str">
        <f ca="1">UPPER(BangKeTru!M114)</f>
        <v>141</v>
      </c>
      <c r="W108" s="30" t="str">
        <f ca="1">$W$1</f>
        <v>NXX</v>
      </c>
    </row>
    <row r="109" spans="11:23">
      <c r="K109" s="32">
        <v>43719</v>
      </c>
      <c r="L109" s="38" t="str">
        <f ca="1">UPPER(BangKeTru!M115)</f>
        <v>141A</v>
      </c>
      <c r="W109" s="30" t="str">
        <f ca="1">$W$1</f>
        <v>NXX</v>
      </c>
    </row>
    <row r="110" spans="11:23">
      <c r="K110" s="32">
        <v>43719</v>
      </c>
      <c r="L110" s="38" t="str">
        <f ca="1">UPPER(BangKeTru!M116)</f>
        <v>142</v>
      </c>
      <c r="W110" s="30" t="str">
        <f ca="1">$W$1</f>
        <v>NXX</v>
      </c>
    </row>
    <row r="111" spans="11:23">
      <c r="K111" s="32">
        <v>43719</v>
      </c>
      <c r="L111" s="38" t="str">
        <f ca="1">UPPER(BangKeTru!M117)</f>
        <v>142A</v>
      </c>
      <c r="W111" s="30" t="str">
        <f ca="1">$W$1</f>
        <v>NXX</v>
      </c>
    </row>
    <row r="112" spans="11:23">
      <c r="K112" s="32">
        <v>43719</v>
      </c>
      <c r="L112" s="38" t="str">
        <f ca="1">UPPER(BangKeTru!M118)</f>
        <v>143</v>
      </c>
      <c r="W112" s="30" t="str">
        <f ca="1">$W$1</f>
        <v>NXX</v>
      </c>
    </row>
    <row r="113" spans="11:23">
      <c r="K113" s="32">
        <v>43719</v>
      </c>
      <c r="L113" s="38" t="str">
        <f ca="1">UPPER(BangKeTru!M119)</f>
        <v>143A</v>
      </c>
      <c r="W113" s="30" t="str">
        <f ca="1">$W$1</f>
        <v>NXX</v>
      </c>
    </row>
    <row r="114" spans="11:23">
      <c r="K114" s="32">
        <v>43719</v>
      </c>
      <c r="L114" s="38" t="str">
        <f ca="1">UPPER(BangKeTru!M120)</f>
        <v>144</v>
      </c>
      <c r="W114" s="30" t="str">
        <f ca="1">$W$1</f>
        <v>NXX</v>
      </c>
    </row>
    <row r="115" spans="11:23">
      <c r="K115" s="32">
        <v>43719</v>
      </c>
      <c r="L115" s="38" t="str">
        <f ca="1">UPPER(BangKeTru!M121)</f>
        <v>144A</v>
      </c>
      <c r="W115" s="30" t="str">
        <f ca="1">$W$1</f>
        <v>NXX</v>
      </c>
    </row>
    <row r="116" spans="11:23">
      <c r="K116" s="32">
        <v>43719</v>
      </c>
      <c r="L116" s="38" t="str">
        <f ca="1">UPPER(BangKeTru!M122)</f>
        <v>145</v>
      </c>
      <c r="W116" s="30" t="str">
        <f ca="1">$W$1</f>
        <v>NXX</v>
      </c>
    </row>
    <row r="117" spans="11:23">
      <c r="K117" s="32">
        <v>43719</v>
      </c>
      <c r="L117" s="38" t="str">
        <f ca="1">UPPER(BangKeTru!M123)</f>
        <v>145B</v>
      </c>
      <c r="W117" s="30" t="str">
        <f ca="1">$W$1</f>
        <v>NXX</v>
      </c>
    </row>
    <row r="118" spans="11:23">
      <c r="K118" s="32">
        <v>43719</v>
      </c>
      <c r="L118" s="38" t="str">
        <f ca="1">UPPER(BangKeTru!M124)</f>
        <v>145A</v>
      </c>
      <c r="W118" s="30" t="str">
        <f ca="1">$W$1</f>
        <v>NXX</v>
      </c>
    </row>
    <row r="119" spans="11:23">
      <c r="K119" s="32">
        <v>43719</v>
      </c>
      <c r="L119" s="38" t="str">
        <f ca="1">UPPER(BangKeTru!M125)</f>
        <v>146</v>
      </c>
      <c r="W119" s="30" t="str">
        <f ca="1">$W$1</f>
        <v>NXX</v>
      </c>
    </row>
    <row r="120" spans="11:23">
      <c r="K120" s="32">
        <v>43720</v>
      </c>
      <c r="L120" s="38" t="str">
        <f ca="1">UPPER(BangKeTru!M126)</f>
        <v>146A</v>
      </c>
      <c r="W120" s="30" t="str">
        <f ca="1">$W$1</f>
        <v>NXX</v>
      </c>
    </row>
    <row r="121" spans="11:23">
      <c r="K121" s="32">
        <v>43720</v>
      </c>
      <c r="L121" s="38" t="str">
        <f ca="1">UPPER(BangKeTru!M127)</f>
        <v>147</v>
      </c>
      <c r="W121" s="30" t="str">
        <f ca="1">$W$1</f>
        <v>NXX</v>
      </c>
    </row>
    <row r="122" spans="11:23">
      <c r="K122" s="32">
        <v>43720</v>
      </c>
      <c r="L122" s="38" t="str">
        <f ca="1">UPPER(BangKeTru!M128)</f>
        <v>147A</v>
      </c>
      <c r="W122" s="30" t="str">
        <f ca="1">$W$1</f>
        <v>NXX</v>
      </c>
    </row>
    <row r="123" spans="11:23">
      <c r="K123" s="32">
        <v>43720</v>
      </c>
      <c r="L123" s="38" t="str">
        <f ca="1">UPPER(BangKeTru!M129)</f>
        <v>148</v>
      </c>
      <c r="W123" s="30" t="str">
        <f ca="1">$W$1</f>
        <v>NXX</v>
      </c>
    </row>
    <row r="124" spans="11:23">
      <c r="K124" s="32">
        <v>43720</v>
      </c>
      <c r="L124" s="38" t="str">
        <f ca="1">UPPER(BangKeTru!M130)</f>
        <v>148A</v>
      </c>
      <c r="W124" s="30" t="str">
        <f ca="1">$W$1</f>
        <v>NXX</v>
      </c>
    </row>
    <row r="125" spans="11:23">
      <c r="K125" s="32">
        <v>43720</v>
      </c>
      <c r="L125" s="38" t="str">
        <f ca="1">UPPER(BangKeTru!M131)</f>
        <v>149</v>
      </c>
      <c r="W125" s="30" t="str">
        <f ca="1">$W$1</f>
        <v>NXX</v>
      </c>
    </row>
    <row r="126" spans="11:23">
      <c r="K126" s="32">
        <v>43720</v>
      </c>
      <c r="L126" s="38" t="str">
        <f ca="1">UPPER(BangKeTru!M132)</f>
        <v>149A</v>
      </c>
      <c r="W126" s="30" t="str">
        <f ca="1">$W$1</f>
        <v>NXX</v>
      </c>
    </row>
    <row r="127" spans="11:23">
      <c r="K127" s="32">
        <v>43720</v>
      </c>
      <c r="L127" s="38" t="str">
        <f ca="1">UPPER(BangKeTru!M133)</f>
        <v>150</v>
      </c>
      <c r="W127" s="30" t="str">
        <f ca="1">$W$1</f>
        <v>NXX</v>
      </c>
    </row>
    <row r="128" spans="11:23">
      <c r="K128" s="32">
        <v>43724</v>
      </c>
      <c r="L128" s="38" t="str">
        <f ca="1">UPPER(BangKeTru!M134)</f>
        <v>150A</v>
      </c>
      <c r="W128" s="30" t="str">
        <f ca="1">$W$1</f>
        <v>NXX</v>
      </c>
    </row>
    <row r="129" spans="11:23">
      <c r="K129" s="32">
        <v>43724</v>
      </c>
      <c r="L129" s="38" t="str">
        <f ca="1">UPPER(BangKeTru!M135)</f>
        <v>151</v>
      </c>
      <c r="W129" s="30" t="str">
        <f ca="1">$W$1</f>
        <v>NXX</v>
      </c>
    </row>
    <row r="130" spans="11:23">
      <c r="K130" s="32">
        <v>43724</v>
      </c>
      <c r="L130" s="38" t="str">
        <f ca="1">UPPER(BangKeTru!M136)</f>
        <v>151A</v>
      </c>
      <c r="W130" s="30" t="str">
        <f ca="1">$W$1</f>
        <v>NXX</v>
      </c>
    </row>
    <row r="131" spans="11:23">
      <c r="K131" s="32">
        <v>43724</v>
      </c>
      <c r="L131" s="38" t="str">
        <f ca="1">UPPER(BangKeTru!M137)</f>
        <v>152</v>
      </c>
      <c r="W131" s="30" t="str">
        <f ca="1">$W$1</f>
        <v>NXX</v>
      </c>
    </row>
    <row r="132" spans="11:23">
      <c r="K132" s="32">
        <v>43724</v>
      </c>
      <c r="L132" s="38" t="str">
        <f ca="1">UPPER(BangKeTru!M138)</f>
        <v>152A</v>
      </c>
      <c r="W132" s="30" t="str">
        <f ca="1">$W$1</f>
        <v>NXX</v>
      </c>
    </row>
    <row r="133" spans="11:23">
      <c r="K133" s="32">
        <v>43724</v>
      </c>
      <c r="L133" s="38" t="str">
        <f ca="1">UPPER(BangKeTru!M139)</f>
        <v>153</v>
      </c>
      <c r="W133" s="30" t="str">
        <f ca="1">$W$1</f>
        <v>NXX</v>
      </c>
    </row>
    <row r="134" spans="11:23">
      <c r="K134" s="32">
        <v>43724</v>
      </c>
      <c r="L134" s="38" t="str">
        <f ca="1">UPPER(BangKeTru!M140)</f>
        <v>153A</v>
      </c>
      <c r="W134" s="30" t="str">
        <f ca="1">$W$1</f>
        <v>NXX</v>
      </c>
    </row>
    <row r="135" spans="11:23">
      <c r="K135" s="32">
        <v>43724</v>
      </c>
      <c r="L135" s="38" t="str">
        <f ca="1">UPPER(BangKeTru!M141)</f>
        <v>154</v>
      </c>
      <c r="W135" s="30" t="str">
        <f ca="1">$W$1</f>
        <v>NXX</v>
      </c>
    </row>
    <row r="136" spans="11:23">
      <c r="K136" s="32">
        <v>43724</v>
      </c>
      <c r="L136" s="38" t="str">
        <f ca="1">UPPER(BangKeTru!M142)</f>
        <v>154A</v>
      </c>
      <c r="W136" s="30" t="str">
        <f ca="1">$W$1</f>
        <v>NXX</v>
      </c>
    </row>
    <row r="137" spans="11:23">
      <c r="K137" s="32">
        <v>43725</v>
      </c>
      <c r="L137" s="38" t="str">
        <f ca="1">UPPER(BangKeTru!M143)</f>
        <v>155</v>
      </c>
      <c r="W137" s="30" t="str">
        <f ca="1">$W$1</f>
        <v>NXX</v>
      </c>
    </row>
    <row r="138" spans="11:23">
      <c r="K138" s="32">
        <v>43725</v>
      </c>
      <c r="L138" s="38" t="str">
        <f ca="1">UPPER(BangKeTru!M144)</f>
        <v>155A</v>
      </c>
      <c r="W138" s="30" t="str">
        <f ca="1">$W$1</f>
        <v>NXX</v>
      </c>
    </row>
    <row r="139" spans="11:23">
      <c r="K139" s="32">
        <v>43725</v>
      </c>
      <c r="L139" s="38" t="str">
        <f ca="1">UPPER(BangKeTru!M145)</f>
        <v>156</v>
      </c>
      <c r="W139" s="30" t="str">
        <f ca="1">$W$1</f>
        <v>NXX</v>
      </c>
    </row>
    <row r="140" spans="11:23">
      <c r="K140" s="32">
        <v>43725</v>
      </c>
      <c r="L140" s="38" t="str">
        <f ca="1">UPPER(BangKeTru!M146)</f>
        <v>156A</v>
      </c>
      <c r="W140" s="30" t="str">
        <f ca="1">$W$1</f>
        <v>NXX</v>
      </c>
    </row>
    <row r="141" spans="11:23">
      <c r="K141" s="32">
        <v>43725</v>
      </c>
      <c r="L141" s="38" t="str">
        <f ca="1">UPPER(BangKeTru!M147)</f>
        <v>157</v>
      </c>
      <c r="W141" s="30" t="str">
        <f ca="1">$W$1</f>
        <v>NXX</v>
      </c>
    </row>
    <row r="142" spans="11:23">
      <c r="K142" s="32">
        <v>43725</v>
      </c>
      <c r="L142" s="38" t="str">
        <f ca="1">UPPER(BangKeTru!M148)</f>
        <v>157A</v>
      </c>
      <c r="W142" s="30" t="str">
        <f ca="1">$W$1</f>
        <v>NXX</v>
      </c>
    </row>
    <row r="143" spans="11:23">
      <c r="K143" s="32">
        <v>43725</v>
      </c>
      <c r="L143" s="38" t="str">
        <f ca="1">UPPER(BangKeTru!M149)</f>
        <v>158</v>
      </c>
      <c r="W143" s="30" t="str">
        <f ca="1">$W$1</f>
        <v>NXX</v>
      </c>
    </row>
    <row r="144" spans="11:23">
      <c r="K144" s="32">
        <v>43725</v>
      </c>
      <c r="L144" s="38" t="str">
        <f ca="1">UPPER(BangKeTru!M150)</f>
        <v>158A</v>
      </c>
      <c r="W144" s="30" t="str">
        <f ca="1">$W$1</f>
        <v>NXX</v>
      </c>
    </row>
    <row r="145" spans="11:23">
      <c r="K145" s="32">
        <v>43726</v>
      </c>
      <c r="L145" s="38" t="str">
        <f ca="1">UPPER(BangKeTru!M151)</f>
        <v>159</v>
      </c>
      <c r="W145" s="30" t="str">
        <f ca="1">$W$1</f>
        <v>NXX</v>
      </c>
    </row>
    <row r="146" spans="11:23">
      <c r="K146" s="32">
        <v>43726</v>
      </c>
      <c r="L146" s="38" t="str">
        <f ca="1">UPPER(BangKeTru!M152)</f>
        <v>159A</v>
      </c>
      <c r="W146" s="30" t="str">
        <f ca="1">$W$1</f>
        <v>NXX</v>
      </c>
    </row>
    <row r="147" spans="11:23">
      <c r="K147" s="32">
        <v>43726</v>
      </c>
      <c r="L147" s="38" t="str">
        <f ca="1">UPPER(BangKeTru!M153)</f>
        <v>160</v>
      </c>
      <c r="W147" s="30" t="str">
        <f ca="1">$W$1</f>
        <v>NXX</v>
      </c>
    </row>
    <row r="148" spans="11:23">
      <c r="K148" s="32">
        <v>43726</v>
      </c>
      <c r="L148" s="38" t="str">
        <f ca="1">UPPER(BangKeTru!M154)</f>
        <v>160A</v>
      </c>
      <c r="W148" s="30" t="str">
        <f ca="1">$W$1</f>
        <v>NXX</v>
      </c>
    </row>
    <row r="149" spans="11:23">
      <c r="K149" s="32">
        <v>43726</v>
      </c>
      <c r="L149" s="38" t="str">
        <f ca="1">UPPER(BangKeTru!M155)</f>
        <v>161</v>
      </c>
      <c r="W149" s="30" t="str">
        <f ca="1">$W$1</f>
        <v>NXX</v>
      </c>
    </row>
    <row r="150" spans="11:23">
      <c r="K150" s="32">
        <v>43726</v>
      </c>
      <c r="L150" s="38" t="str">
        <f ca="1">UPPER(BangKeTru!M156)</f>
        <v>161A</v>
      </c>
      <c r="W150" s="30" t="str">
        <f ca="1">$W$1</f>
        <v>NXX</v>
      </c>
    </row>
    <row r="151" spans="11:23">
      <c r="K151" s="32">
        <v>43726</v>
      </c>
      <c r="L151" s="38" t="str">
        <f ca="1">UPPER(BangKeTru!M157)</f>
        <v>162</v>
      </c>
      <c r="W151" s="30" t="str">
        <f ca="1">$W$1</f>
        <v>NXX</v>
      </c>
    </row>
    <row r="152" spans="11:23">
      <c r="K152" s="32">
        <v>43726</v>
      </c>
      <c r="L152" s="38" t="str">
        <f ca="1">UPPER(BangKeTru!M158)</f>
        <v>162A</v>
      </c>
      <c r="W152" s="30" t="str">
        <f ca="1">$W$1</f>
        <v>NXX</v>
      </c>
    </row>
    <row r="153" spans="11:23">
      <c r="K153" s="32">
        <v>43726</v>
      </c>
      <c r="L153" s="38" t="str">
        <f ca="1">UPPER(BangKeTru!M159)</f>
        <v>163</v>
      </c>
      <c r="W153" s="30" t="str">
        <f ca="1">$W$1</f>
        <v>NXX</v>
      </c>
    </row>
    <row r="154" spans="11:23">
      <c r="K154" s="32">
        <v>43726</v>
      </c>
      <c r="L154" s="38" t="str">
        <f ca="1">UPPER(BangKeTru!M160)</f>
        <v>163A</v>
      </c>
      <c r="W154" s="30" t="str">
        <f ca="1">$W$1</f>
        <v>NXX</v>
      </c>
    </row>
    <row r="155" spans="11:23">
      <c r="K155" s="32">
        <v>43731</v>
      </c>
      <c r="L155" s="38" t="str">
        <f ca="1">UPPER(BangKeTru!M161)</f>
        <v>164</v>
      </c>
      <c r="W155" s="30" t="str">
        <f ca="1">$W$1</f>
        <v>NXX</v>
      </c>
    </row>
    <row r="156" spans="11:23">
      <c r="K156" s="32">
        <v>43731</v>
      </c>
      <c r="L156" s="38" t="str">
        <f ca="1">UPPER(BangKeTru!M162)</f>
        <v>164A</v>
      </c>
      <c r="W156" s="30" t="str">
        <f ca="1">$W$1</f>
        <v>NXX</v>
      </c>
    </row>
    <row r="157" spans="11:23">
      <c r="K157" s="32">
        <v>43731</v>
      </c>
      <c r="L157" s="38" t="str">
        <f ca="1">UPPER(BangKeTru!M163)</f>
        <v>165</v>
      </c>
      <c r="W157" s="30" t="str">
        <f ca="1">$W$1</f>
        <v>NXX</v>
      </c>
    </row>
    <row r="158" spans="11:23">
      <c r="K158" s="32">
        <v>43731</v>
      </c>
      <c r="L158" s="38" t="str">
        <f ca="1">UPPER(BangKeTru!M164)</f>
        <v>165A</v>
      </c>
      <c r="W158" s="30" t="str">
        <f ca="1">$W$1</f>
        <v>NXX</v>
      </c>
    </row>
    <row r="159" spans="11:23">
      <c r="K159" s="32">
        <v>43731</v>
      </c>
      <c r="L159" s="38" t="str">
        <f ca="1">UPPER(BangKeTru!M165)</f>
        <v>166</v>
      </c>
      <c r="W159" s="30" t="str">
        <f ca="1">$W$1</f>
        <v>NXX</v>
      </c>
    </row>
    <row r="160" spans="11:23">
      <c r="K160" s="32">
        <v>43731</v>
      </c>
      <c r="L160" s="38" t="str">
        <f ca="1">UPPER(BangKeTru!M166)</f>
        <v>166A</v>
      </c>
      <c r="W160" s="30" t="str">
        <f ca="1">$W$1</f>
        <v>NXX</v>
      </c>
    </row>
    <row r="161" spans="11:23">
      <c r="K161" s="32">
        <v>43731</v>
      </c>
      <c r="L161" s="38" t="str">
        <f ca="1">UPPER(BangKeTru!M167)</f>
        <v>167</v>
      </c>
      <c r="W161" s="30" t="str">
        <f ca="1">$W$1</f>
        <v>NXX</v>
      </c>
    </row>
    <row r="162" spans="11:23">
      <c r="K162" s="32">
        <v>43731</v>
      </c>
      <c r="L162" s="38" t="str">
        <f ca="1">UPPER(BangKeTru!M168)</f>
        <v>167A</v>
      </c>
      <c r="W162" s="30" t="str">
        <f ca="1">$W$1</f>
        <v>NXX</v>
      </c>
    </row>
    <row r="163" spans="11:23">
      <c r="K163" s="32">
        <v>43731</v>
      </c>
      <c r="L163" s="38" t="str">
        <f ca="1">UPPER(BangKeTru!M169)</f>
        <v>168</v>
      </c>
      <c r="W163" s="30" t="str">
        <f ca="1">$W$1</f>
        <v>NXX</v>
      </c>
    </row>
    <row r="164" spans="11:23">
      <c r="K164" s="32">
        <v>43732</v>
      </c>
      <c r="L164" s="38" t="str">
        <f ca="1">UPPER(BangKeTru!M170)</f>
        <v>168A</v>
      </c>
      <c r="W164" s="30" t="str">
        <f ca="1">$W$1</f>
        <v>NXX</v>
      </c>
    </row>
    <row r="165" spans="11:23">
      <c r="K165" s="32">
        <v>43732</v>
      </c>
      <c r="L165" s="38" t="str">
        <f ca="1">UPPER(BangKeTru!M171)</f>
        <v>169</v>
      </c>
      <c r="W165" s="30" t="str">
        <f ca="1">$W$1</f>
        <v>NXX</v>
      </c>
    </row>
    <row r="166" spans="11:23">
      <c r="K166" s="32">
        <v>43732</v>
      </c>
      <c r="L166" s="38" t="str">
        <f ca="1">UPPER(BangKeTru!M172)</f>
        <v>169A</v>
      </c>
      <c r="W166" s="30" t="str">
        <f ca="1">$W$1</f>
        <v>NXX</v>
      </c>
    </row>
    <row r="167" spans="11:23">
      <c r="K167" s="32">
        <v>43732</v>
      </c>
      <c r="L167" s="38" t="str">
        <f ca="1">UPPER(BangKeTru!M173)</f>
        <v>170</v>
      </c>
      <c r="W167" s="30" t="str">
        <f ca="1">$W$1</f>
        <v>NXX</v>
      </c>
    </row>
    <row r="168" spans="11:23">
      <c r="K168" s="32">
        <v>43732</v>
      </c>
      <c r="L168" s="38" t="str">
        <f ca="1">UPPER(BangKeTru!M174)</f>
        <v>170A</v>
      </c>
      <c r="W168" s="30" t="str">
        <f ca="1">$W$1</f>
        <v>NXX</v>
      </c>
    </row>
    <row r="169" spans="11:23">
      <c r="K169" s="32">
        <v>43732</v>
      </c>
      <c r="L169" s="38" t="str">
        <f ca="1">UPPER(BangKeTru!M175)</f>
        <v>171</v>
      </c>
      <c r="W169" s="30" t="str">
        <f ca="1">$W$1</f>
        <v>NXX</v>
      </c>
    </row>
    <row r="170" spans="11:23">
      <c r="K170" s="32">
        <v>43733</v>
      </c>
      <c r="L170" s="38" t="str">
        <f ca="1">UPPER(BangKeTru!M176)</f>
        <v>171A</v>
      </c>
      <c r="W170" s="30" t="str">
        <f ca="1">$W$1</f>
        <v>NXX</v>
      </c>
    </row>
    <row r="171" spans="11:23">
      <c r="K171" s="32">
        <v>43733</v>
      </c>
      <c r="L171" s="38" t="str">
        <f ca="1">UPPER(BangKeTru!M177)</f>
        <v>172</v>
      </c>
      <c r="W171" s="30" t="str">
        <f ca="1">$W$1</f>
        <v>NXX</v>
      </c>
    </row>
    <row r="172" spans="11:23">
      <c r="K172" s="32">
        <v>43733</v>
      </c>
      <c r="L172" s="38" t="str">
        <f ca="1">UPPER(BangKeTru!M178)</f>
        <v>172A</v>
      </c>
      <c r="W172" s="30" t="str">
        <f ca="1">$W$1</f>
        <v>NXX</v>
      </c>
    </row>
    <row r="173" spans="11:23">
      <c r="K173" s="32">
        <v>43733</v>
      </c>
      <c r="L173" s="38" t="str">
        <f ca="1">UPPER(BangKeTru!M179)</f>
        <v>173</v>
      </c>
      <c r="W173" s="30" t="str">
        <f ca="1">$W$1</f>
        <v>NXX</v>
      </c>
    </row>
    <row r="174" spans="11:23">
      <c r="K174" s="32">
        <v>43733</v>
      </c>
      <c r="L174" s="38" t="str">
        <f ca="1">UPPER(BangKeTru!M180)</f>
        <v>173A</v>
      </c>
      <c r="W174" s="30" t="str">
        <f ca="1">$W$1</f>
        <v>NXX</v>
      </c>
    </row>
    <row r="175" spans="11:23">
      <c r="K175" s="32">
        <v>43733</v>
      </c>
      <c r="L175" s="38" t="str">
        <f ca="1">UPPER(BangKeTru!M181)</f>
        <v>174</v>
      </c>
      <c r="W175" s="30" t="str">
        <f ca="1">$W$1</f>
        <v>NXX</v>
      </c>
    </row>
    <row r="176" spans="11:23">
      <c r="K176" s="32">
        <v>43733</v>
      </c>
      <c r="L176" s="38" t="str">
        <f ca="1">UPPER(BangKeTru!M182)</f>
        <v>174A</v>
      </c>
      <c r="W176" s="30" t="str">
        <f ca="1">$W$1</f>
        <v>NXX</v>
      </c>
    </row>
    <row r="177" spans="11:23">
      <c r="K177" s="32">
        <v>43733</v>
      </c>
      <c r="L177" s="38" t="str">
        <f ca="1">UPPER(BangKeTru!M183)</f>
        <v>0</v>
      </c>
      <c r="W177" s="30" t="str">
        <f ca="1">$W$1</f>
        <v>NXX</v>
      </c>
    </row>
    <row r="178" spans="11:23">
      <c r="K178" s="32">
        <v>0</v>
      </c>
      <c r="L178" s="38" t="str">
        <f ca="1">UPPER(BangKeTru!M184)</f>
        <v>CỘNG</v>
      </c>
      <c r="W178" s="30" t="str">
        <f ca="1">$W$1</f>
        <v>NXX</v>
      </c>
    </row>
    <row r="179" spans="11:23">
      <c r="K179" s="32">
        <v>0</v>
      </c>
      <c r="L179" s="38" t="str">
        <f ca="1">UPPER(BangKeTru!M185)</f>
        <v>CỘNG</v>
      </c>
      <c r="W179" s="30" t="str">
        <f ca="1">$W$1</f>
        <v>NXX</v>
      </c>
    </row>
    <row r="180" spans="11:23">
      <c r="K180" s="32">
        <v>0</v>
      </c>
      <c r="L180" s="38" t="str">
        <f ca="1">UPPER(BangKeTru!M186)</f>
        <v>0</v>
      </c>
      <c r="W180" s="30" t="str">
        <f ca="1">$W$1</f>
        <v>NXX</v>
      </c>
    </row>
    <row r="181" spans="11:23">
      <c r="K181" s="32">
        <v>0</v>
      </c>
      <c r="L181" s="38" t="str">
        <f ca="1">UPPER(BangKeTru!M187)</f>
        <v/>
      </c>
      <c r="W181" s="30" t="str">
        <f ca="1">$W$1</f>
        <v>NXX</v>
      </c>
    </row>
    <row r="182" spans="11:23">
      <c r="K182" s="32">
        <v>0</v>
      </c>
      <c r="L182" s="38" t="str">
        <f ca="1">UPPER(BangKeTru!M188)</f>
        <v/>
      </c>
      <c r="W182" s="30" t="str">
        <f ca="1">$W$1</f>
        <v>NXX</v>
      </c>
    </row>
  </sheetData>
  <autoFilter ref="A1:V187">
    <filterColumn colId="8">
      <customFilters>
        <customFilter operator="equal" val=""/>
        <customFilter operator="equal" val="1"/>
      </customFilters>
    </filterColumn>
    <extLst/>
  </autoFilter>
  <mergeCells count="2">
    <mergeCell ref="C23:D23"/>
    <mergeCell ref="C27:D27"/>
  </mergeCells>
  <pageMargins left="0.829861111111111" right="0.199305555555556" top="0.749305555555556" bottom="0.749305555555556" header="0.299305555555556" footer="0.299305555555556"/>
  <pageSetup paperSize="9" orientation="portrait" horizontalDpi="600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U174"/>
  <sheetViews>
    <sheetView workbookViewId="0">
      <selection activeCell="C1458" sqref="C1458"/>
    </sheetView>
  </sheetViews>
  <sheetFormatPr defaultColWidth="11" defaultRowHeight="16.8"/>
  <cols>
    <col min="1" max="1" width="11" style="1"/>
    <col min="2" max="2" width="23.7777777777778" style="17" customWidth="1"/>
    <col min="3" max="3" width="7.11111111111111" style="1" customWidth="1"/>
    <col min="4" max="4" width="44.2222222222222" style="1" customWidth="1"/>
    <col min="5" max="6" width="10.1111111111111" style="1" customWidth="1"/>
    <col min="7" max="7" width="13.7777777777778" style="1" customWidth="1"/>
    <col min="8" max="8" width="7.77777777777778" style="1" customWidth="1"/>
    <col min="9" max="9" width="10.4444444444444" style="1" customWidth="1"/>
    <col min="10" max="10" width="51.8796296296296" style="1" customWidth="1"/>
    <col min="11" max="11" width="21.6666666666667" style="18" customWidth="1"/>
    <col min="12" max="12" width="20.5092592592593" style="1" customWidth="1"/>
    <col min="13" max="13" width="23.3611111111111" style="1" customWidth="1"/>
    <col min="14" max="14" width="18" style="1" customWidth="1"/>
    <col min="15" max="15" width="11.1111111111111" style="1" customWidth="1"/>
    <col min="16" max="16" width="13.5555555555556" style="1" customWidth="1"/>
    <col min="17" max="17" width="13.2222222222222" style="1" customWidth="1"/>
    <col min="18" max="18" width="13.5555555555556" style="1" customWidth="1"/>
    <col min="19" max="19" width="15.2222222222222" style="1" customWidth="1"/>
    <col min="20" max="20" width="11.1111111111111" style="1" customWidth="1"/>
    <col min="21" max="21" width="7.88888888888889" style="1" customWidth="1"/>
    <col min="22" max="22" width="21.1111111111111" style="1" customWidth="1"/>
    <col min="23" max="16384" width="11" style="1"/>
  </cols>
  <sheetData>
    <row r="1" ht="36" customHeight="1" spans="1:21">
      <c r="A1" s="1" t="s">
        <v>28</v>
      </c>
      <c r="C1" s="5" t="s">
        <v>15</v>
      </c>
      <c r="D1" s="5" t="s">
        <v>3445</v>
      </c>
      <c r="E1" s="20" t="s">
        <v>3434</v>
      </c>
      <c r="F1" s="20" t="s">
        <v>3435</v>
      </c>
      <c r="G1" s="5" t="s">
        <v>3436</v>
      </c>
      <c r="H1" s="5" t="s">
        <v>3437</v>
      </c>
      <c r="I1" s="26" t="s">
        <v>3438</v>
      </c>
      <c r="J1" s="26">
        <v>2</v>
      </c>
      <c r="K1" s="27" t="s">
        <v>3440</v>
      </c>
      <c r="L1" s="1" t="s">
        <v>3266</v>
      </c>
      <c r="M1" s="1" t="s">
        <v>3267</v>
      </c>
      <c r="U1" s="30"/>
    </row>
    <row r="2" ht="181" customHeight="1" spans="2:21">
      <c r="B2" s="1" t="s">
        <v>3266</v>
      </c>
      <c r="C2" s="12">
        <f ca="1">SUM($I$2:I2)</f>
        <v>1</v>
      </c>
      <c r="D2" s="14" t="str">
        <f ca="1">VLOOKUP(B2,DonGia,3,0)&amp;" tại các vị trí: "&amp;J2</f>
        <v>Trụ bê tông ly tâm 12m trồng thủ công+cơ giới tại các vị trí: 137A, 138A, 139B, 140A, 141A, 142A, 143A, 144A, 145B, 146A, 147A, 148A, 149A, 150A, 151A, 152A, 153A, 154A, 155A, 156A, 157A, 158A, 159A, 160A, 162A, 163A, 164A, 165A, 167A, 168A, 169A, 170A, 172A, 173A</v>
      </c>
      <c r="E2" s="21">
        <f ca="1">HLOOKUP(B2,BangKeTru!$1:$184,184,0)</f>
        <v>96</v>
      </c>
      <c r="F2" s="21">
        <f ca="1">IF(LEN(J2)&gt;0,(LEN(J2)-LEN(SUBSTITUTE(J2,", ","")))/2+1,0)</f>
        <v>34</v>
      </c>
      <c r="G2" s="22" t="s">
        <v>3441</v>
      </c>
      <c r="H2" s="23"/>
      <c r="I2" s="1">
        <f ca="1">IF(F2&gt;0,1,"")</f>
        <v>1</v>
      </c>
      <c r="J2" s="28" t="str">
        <f ca="1">UPPER(HLOOKUP($B2,$1:$3,$J$1+1,0))</f>
        <v>137A, 138A, 139B, 140A, 141A, 142A, 143A, 144A, 145B, 146A, 147A, 148A, 149A, 150A, 151A, 152A, 153A, 154A, 155A, 156A, 157A, 158A, 159A, 160A, 162A, 163A, 164A, 165A, 167A, 168A, 169A, 170A, 172A, 173A</v>
      </c>
      <c r="K2" s="18">
        <v>43744</v>
      </c>
      <c r="L2" s="29" t="str">
        <f ca="1" t="array" ref="L2">_xlfn.TEXTJOIN(", ",TRUE,IF(($K2=BangKeTru!$C:$C)*(BangKeTru!X:X&gt;0),BangKeTru!$M:$M,""))</f>
        <v>89a, 90a, 91a, 92a, 93a, 94a, 95a, 96a, 97a, 98a, 99a, 100a, 101a, 102, 102a, 103a, 104a, 105a, 106a, 107, 107a, 108a, 109a, 110a, 111a, 111b, 112a, 113a, 114a, 115, 115a, 116a, 117a, 118a, 119a, 120a, 123a, 124a, 125a, 126a, 127a, 128, 128a, 129, 129a, 130a, 131a, 133a, 134a, 135a, 136a</v>
      </c>
      <c r="M2" s="29" t="str">
        <f ca="1" t="array" ref="M2">_xlfn.TEXTJOIN(", ",TRUE,IF(($K2=BangKeTru!$C:$C)*(BangKeTru!Y:Y&gt;0),BangKeTru!$M:$M,""))</f>
        <v>101, 106, 116, 123, 127</v>
      </c>
      <c r="N2" s="29" t="str">
        <f ca="1" t="array" ref="N2">_xlfn.TEXTJOIN(", ",TRUE,IF(($K2=BangKeTru!$B:$B)*(BangKeTru!AB:AB&gt;0),BangKeTru!$M:$M,""))</f>
        <v/>
      </c>
      <c r="O2" s="29" t="str">
        <f ca="1" t="array" ref="O2">_xlfn.TEXTJOIN(", ",TRUE,IF(($K2=BangKeTru!$B:$B)*(BangKeTru!AC:AC&gt;0),BangKeTru!$M:$M,""))</f>
        <v/>
      </c>
      <c r="P2" s="29" t="str">
        <f ca="1" t="array" ref="P2">_xlfn.TEXTJOIN(", ",TRUE,IF(($K2=BangKeTru!$B:$B)*(BangKeTru!AD:AD&gt;0),BangKeTru!$M:$M,""))</f>
        <v/>
      </c>
      <c r="Q2" s="29" t="str">
        <f ca="1" t="array" ref="Q2">_xlfn.TEXTJOIN(", ",TRUE,IF(($K2=BangKeTru!$B:$B)*(BangKeTru!AE:AE&gt;0),BangKeTru!$M:$M,""))</f>
        <v/>
      </c>
      <c r="R2" s="29" t="str">
        <f ca="1" t="array" ref="R2">_xlfn.TEXTJOIN(", ",TRUE,IF(($K2=BangKeTru!$B:$B)*(BangKeTru!AF:AF&gt;0),BangKeTru!$M:$M,""))</f>
        <v/>
      </c>
      <c r="S2" s="29" t="str">
        <f ca="1" t="array" ref="S2">_xlfn.TEXTJOIN(", ",TRUE,IF(($K2=BangKeTru!$B:$B)*(BangKeTru!AG:AG&gt;0),BangKeTru!$M:$M,""))</f>
        <v/>
      </c>
      <c r="T2" s="29" t="str">
        <f ca="1" t="array" ref="T2">_xlfn.TEXTJOIN(", ",TRUE,IF(($K2=BangKeTru!$B:$B)*(BangKeTru!AH:AH&gt;0),BangKeTru!$M:$M,""))</f>
        <v/>
      </c>
      <c r="U2" s="29" t="str">
        <f ca="1" t="array" ref="U2">""</f>
        <v/>
      </c>
    </row>
    <row r="3" ht="64" customHeight="1" spans="2:21">
      <c r="B3" s="1" t="s">
        <v>3267</v>
      </c>
      <c r="C3" s="12">
        <f ca="1">SUM($I$2:I3)</f>
        <v>2</v>
      </c>
      <c r="D3" s="14" t="str">
        <f ca="1">VLOOKUP(B3,DonGia,3,0)&amp;" tại các vị trí: "&amp;J3</f>
        <v>Trụ bê tông ly tâm 14m trồng thủ công+cơ giới tại các vị trí: 137, 147, 148, 150, 161, 164, 169, 171, 171A, 172</v>
      </c>
      <c r="E3" s="21">
        <f ca="1">HLOOKUP(B3,BangKeTru!$1:$184,184,0)</f>
        <v>15</v>
      </c>
      <c r="F3" s="21">
        <f ca="1">IF(LEN(J3)&gt;0,(LEN(J3)-LEN(SUBSTITUTE(J3,", ","")))/2+1,0)</f>
        <v>10</v>
      </c>
      <c r="G3" s="22" t="s">
        <v>3441</v>
      </c>
      <c r="H3" s="23"/>
      <c r="I3" s="1">
        <f ca="1">IF(F3&gt;0,1,0)</f>
        <v>1</v>
      </c>
      <c r="J3" s="28" t="str">
        <f ca="1">UPPER(HLOOKUP($B3,$1:$3,$J$1+1,0))</f>
        <v>137, 147, 148, 150, 161, 164, 169, 171, 171A, 172</v>
      </c>
      <c r="K3" s="18">
        <v>43751</v>
      </c>
      <c r="L3" s="29" t="str">
        <f ca="1" t="array" ref="L3">_xlfn.TEXTJOIN(", ",TRUE,IF(($K3=BangKeTru!$C:$C)*(BangKeTru!X:X&gt;0),BangKeTru!$M:$M,""))</f>
        <v>137a, 138a, 139B, 140a, 141a, 142a, 143a, 144a, 145B, 146a, 147a, 148a, 149a, 150a, 151a, 152a, 153a, 154a, 155a, 156a, 157a, 158a, 159a, 160a, 162a, 163a, 164a, 165a, 167a, 168a, 169a, 170a, 172a, 173a</v>
      </c>
      <c r="M3" s="29" t="str">
        <f ca="1" t="array" ref="M3">"137, 147, 148, 150, 161, 164, 169, 171, 171a, 172"</f>
        <v>137, 147, 148, 150, 161, 164, 169, 171, 171a, 172</v>
      </c>
      <c r="N3" s="29" t="str">
        <f ca="1" t="array" ref="N3">_xlfn.TEXTJOIN(", ",TRUE,IF(($K3=BangKeTru!$B:$B)*(BangKeTru!AB:AB&gt;0),BangKeTru!$M:$M,""))</f>
        <v/>
      </c>
      <c r="O3" s="29" t="str">
        <f ca="1" t="array" ref="O3">""</f>
        <v/>
      </c>
      <c r="P3" s="29" t="str">
        <f ca="1" t="array" ref="P3">_xlfn.TEXTJOIN(", ",TRUE,IF(($K3=BangKeTru!$B:$B)*(BangKeTru!AD:AD&gt;0),BangKeTru!$M:$M,""))</f>
        <v/>
      </c>
      <c r="Q3" s="29" t="str">
        <f ca="1" t="array" ref="Q3">_xlfn.TEXTJOIN(", ",TRUE,IF(($K3=BangKeTru!$B:$B)*(BangKeTru!AE:AE&gt;0),BangKeTru!$M:$M,""))</f>
        <v/>
      </c>
      <c r="R3" s="29" t="str">
        <f ca="1" t="array" ref="R3">_xlfn.TEXTJOIN(", ",TRUE,IF(($K3=BangKeTru!$B:$B)*(BangKeTru!AF:AF&gt;0),BangKeTru!$M:$M,""))</f>
        <v/>
      </c>
      <c r="S3" s="29" t="str">
        <f ca="1" t="array" ref="S3">_xlfn.TEXTJOIN(", ",TRUE,IF(($K3=BangKeTru!$B:$B)*(BangKeTru!AG:AG&gt;0),BangKeTru!$M:$M,""))</f>
        <v/>
      </c>
      <c r="T3" s="29" t="str">
        <f ca="1" t="array" ref="T3">_xlfn.TEXTJOIN(", ",TRUE,IF(($K3=BangKeTru!$B:$B)*(BangKeTru!AH:AH&gt;0),BangKeTru!$M:$M,""))</f>
        <v/>
      </c>
      <c r="U3" s="29" t="str">
        <f ca="1" t="array" ref="U3">_xlfn.TEXTJOIN(", ",TRUE,IF(($K3=BangKeTru!$B:$B)*(BangKeTru!AI:AI&gt;0),BangKeTru!$M:$M,""))</f>
        <v/>
      </c>
    </row>
    <row r="4" ht="29.4" customHeight="1" spans="3:12">
      <c r="C4" s="24"/>
      <c r="D4" s="5" t="s">
        <v>3444</v>
      </c>
      <c r="E4" s="25">
        <f ca="1">SUM(E2:E3)</f>
        <v>111</v>
      </c>
      <c r="F4" s="25">
        <f ca="1">SUM(F2:F3)</f>
        <v>44</v>
      </c>
      <c r="G4" s="24"/>
      <c r="H4" s="13"/>
      <c r="I4" s="1">
        <v>1</v>
      </c>
      <c r="J4" s="1"/>
      <c r="K4" s="18"/>
      <c r="L4" s="29"/>
    </row>
    <row r="5" ht="18" customHeight="1" spans="12:12">
      <c r="L5" s="29"/>
    </row>
    <row r="6" spans="4:12">
      <c r="D6" s="31" t="str">
        <f ca="1">"Nghiệm thu ngày: "&amp;TEXT(K3,"dd/MM/yyyy")</f>
        <v>Nghiệm thu ngày: 13/10/2019</v>
      </c>
      <c r="L6" s="29"/>
    </row>
    <row r="7" spans="12:12">
      <c r="L7" s="29"/>
    </row>
    <row r="8" spans="12:12">
      <c r="L8" s="29"/>
    </row>
    <row r="9" spans="12:12">
      <c r="L9" s="29"/>
    </row>
    <row r="10" spans="12:12">
      <c r="L10" s="29"/>
    </row>
    <row r="11" spans="12:12">
      <c r="L11" s="29"/>
    </row>
    <row r="98" spans="21:21">
      <c r="U98" s="30">
        <f ca="1">$U$1</f>
        <v>0</v>
      </c>
    </row>
    <row r="99" spans="21:21">
      <c r="U99" s="30">
        <f ca="1">$U$1</f>
        <v>0</v>
      </c>
    </row>
    <row r="100" spans="21:21">
      <c r="U100" s="30">
        <f ca="1">$U$1</f>
        <v>0</v>
      </c>
    </row>
    <row r="101" spans="21:21">
      <c r="U101" s="30">
        <f ca="1">$U$1</f>
        <v>0</v>
      </c>
    </row>
    <row r="102" spans="21:21">
      <c r="U102" s="30">
        <f ca="1">$U$1</f>
        <v>0</v>
      </c>
    </row>
    <row r="103" spans="21:21">
      <c r="U103" s="30">
        <f ca="1">$U$1</f>
        <v>0</v>
      </c>
    </row>
    <row r="104" spans="21:21">
      <c r="U104" s="30">
        <f ca="1">$U$1</f>
        <v>0</v>
      </c>
    </row>
    <row r="105" spans="21:21">
      <c r="U105" s="30">
        <f ca="1">$U$1</f>
        <v>0</v>
      </c>
    </row>
    <row r="106" spans="21:21">
      <c r="U106" s="30">
        <f ca="1">$U$1</f>
        <v>0</v>
      </c>
    </row>
    <row r="107" spans="21:21">
      <c r="U107" s="30">
        <f ca="1">$U$1</f>
        <v>0</v>
      </c>
    </row>
    <row r="108" spans="21:21">
      <c r="U108" s="30">
        <f ca="1">$U$1</f>
        <v>0</v>
      </c>
    </row>
    <row r="109" spans="21:21">
      <c r="U109" s="30">
        <f ca="1">$U$1</f>
        <v>0</v>
      </c>
    </row>
    <row r="110" spans="21:21">
      <c r="U110" s="30">
        <f ca="1">$U$1</f>
        <v>0</v>
      </c>
    </row>
    <row r="111" spans="21:21">
      <c r="U111" s="30">
        <f ca="1">$U$1</f>
        <v>0</v>
      </c>
    </row>
    <row r="112" spans="21:21">
      <c r="U112" s="30">
        <f ca="1">$U$1</f>
        <v>0</v>
      </c>
    </row>
    <row r="113" spans="21:21">
      <c r="U113" s="30">
        <f ca="1">$U$1</f>
        <v>0</v>
      </c>
    </row>
    <row r="114" spans="21:21">
      <c r="U114" s="30">
        <f ca="1">$U$1</f>
        <v>0</v>
      </c>
    </row>
    <row r="115" spans="21:21">
      <c r="U115" s="30">
        <f ca="1">$U$1</f>
        <v>0</v>
      </c>
    </row>
    <row r="116" spans="21:21">
      <c r="U116" s="30">
        <f ca="1">$U$1</f>
        <v>0</v>
      </c>
    </row>
    <row r="117" spans="21:21">
      <c r="U117" s="30">
        <f ca="1">$U$1</f>
        <v>0</v>
      </c>
    </row>
    <row r="118" spans="21:21">
      <c r="U118" s="30">
        <f ca="1">$U$1</f>
        <v>0</v>
      </c>
    </row>
    <row r="119" spans="21:21">
      <c r="U119" s="30">
        <f ca="1">$U$1</f>
        <v>0</v>
      </c>
    </row>
    <row r="120" spans="21:21">
      <c r="U120" s="30">
        <f ca="1">$U$1</f>
        <v>0</v>
      </c>
    </row>
    <row r="121" spans="21:21">
      <c r="U121" s="30">
        <f ca="1">$U$1</f>
        <v>0</v>
      </c>
    </row>
    <row r="122" spans="21:21">
      <c r="U122" s="30">
        <f ca="1">$U$1</f>
        <v>0</v>
      </c>
    </row>
    <row r="123" spans="21:21">
      <c r="U123" s="30">
        <f ca="1">$U$1</f>
        <v>0</v>
      </c>
    </row>
    <row r="124" spans="21:21">
      <c r="U124" s="30">
        <f ca="1">$U$1</f>
        <v>0</v>
      </c>
    </row>
    <row r="125" spans="21:21">
      <c r="U125" s="30">
        <f ca="1">$U$1</f>
        <v>0</v>
      </c>
    </row>
    <row r="126" spans="21:21">
      <c r="U126" s="30">
        <f ca="1">$U$1</f>
        <v>0</v>
      </c>
    </row>
    <row r="127" spans="21:21">
      <c r="U127" s="30">
        <f ca="1">$U$1</f>
        <v>0</v>
      </c>
    </row>
    <row r="128" spans="21:21">
      <c r="U128" s="30">
        <f ca="1">$U$1</f>
        <v>0</v>
      </c>
    </row>
    <row r="129" spans="21:21">
      <c r="U129" s="30">
        <f ca="1">$U$1</f>
        <v>0</v>
      </c>
    </row>
    <row r="130" spans="21:21">
      <c r="U130" s="30">
        <f ca="1">$U$1</f>
        <v>0</v>
      </c>
    </row>
    <row r="131" spans="21:21">
      <c r="U131" s="30">
        <f ca="1">$U$1</f>
        <v>0</v>
      </c>
    </row>
    <row r="132" spans="21:21">
      <c r="U132" s="30">
        <f ca="1">$U$1</f>
        <v>0</v>
      </c>
    </row>
    <row r="133" spans="21:21">
      <c r="U133" s="30">
        <f ca="1">$U$1</f>
        <v>0</v>
      </c>
    </row>
    <row r="134" spans="21:21">
      <c r="U134" s="30">
        <f ca="1">$U$1</f>
        <v>0</v>
      </c>
    </row>
    <row r="135" spans="21:21">
      <c r="U135" s="30">
        <f ca="1">$U$1</f>
        <v>0</v>
      </c>
    </row>
    <row r="136" spans="21:21">
      <c r="U136" s="30">
        <f ca="1">$U$1</f>
        <v>0</v>
      </c>
    </row>
    <row r="137" spans="21:21">
      <c r="U137" s="30">
        <f ca="1">$U$1</f>
        <v>0</v>
      </c>
    </row>
    <row r="138" spans="21:21">
      <c r="U138" s="30">
        <f ca="1">$U$1</f>
        <v>0</v>
      </c>
    </row>
    <row r="139" spans="21:21">
      <c r="U139" s="30">
        <f ca="1">$U$1</f>
        <v>0</v>
      </c>
    </row>
    <row r="140" spans="21:21">
      <c r="U140" s="30">
        <f ca="1">$U$1</f>
        <v>0</v>
      </c>
    </row>
    <row r="141" spans="21:21">
      <c r="U141" s="30">
        <f ca="1">$U$1</f>
        <v>0</v>
      </c>
    </row>
    <row r="142" spans="21:21">
      <c r="U142" s="30">
        <f ca="1">$U$1</f>
        <v>0</v>
      </c>
    </row>
    <row r="143" spans="21:21">
      <c r="U143" s="30">
        <f ca="1">$U$1</f>
        <v>0</v>
      </c>
    </row>
    <row r="144" spans="21:21">
      <c r="U144" s="30">
        <f ca="1">$U$1</f>
        <v>0</v>
      </c>
    </row>
    <row r="145" spans="21:21">
      <c r="U145" s="30">
        <f ca="1">$U$1</f>
        <v>0</v>
      </c>
    </row>
    <row r="146" spans="21:21">
      <c r="U146" s="30">
        <f ca="1">$U$1</f>
        <v>0</v>
      </c>
    </row>
    <row r="147" spans="21:21">
      <c r="U147" s="30">
        <f ca="1">$U$1</f>
        <v>0</v>
      </c>
    </row>
    <row r="148" spans="21:21">
      <c r="U148" s="30">
        <f ca="1">$U$1</f>
        <v>0</v>
      </c>
    </row>
    <row r="149" spans="21:21">
      <c r="U149" s="30">
        <f ca="1">$U$1</f>
        <v>0</v>
      </c>
    </row>
    <row r="150" spans="21:21">
      <c r="U150" s="30">
        <f ca="1">$U$1</f>
        <v>0</v>
      </c>
    </row>
    <row r="151" spans="21:21">
      <c r="U151" s="30">
        <f ca="1">$U$1</f>
        <v>0</v>
      </c>
    </row>
    <row r="152" spans="21:21">
      <c r="U152" s="30">
        <f ca="1">$U$1</f>
        <v>0</v>
      </c>
    </row>
    <row r="153" spans="21:21">
      <c r="U153" s="30">
        <f ca="1">$U$1</f>
        <v>0</v>
      </c>
    </row>
    <row r="154" spans="21:21">
      <c r="U154" s="30">
        <f ca="1">$U$1</f>
        <v>0</v>
      </c>
    </row>
    <row r="155" spans="21:21">
      <c r="U155" s="30">
        <f ca="1">$U$1</f>
        <v>0</v>
      </c>
    </row>
    <row r="156" spans="21:21">
      <c r="U156" s="30">
        <f ca="1">$U$1</f>
        <v>0</v>
      </c>
    </row>
    <row r="157" spans="21:21">
      <c r="U157" s="30">
        <f ca="1">$U$1</f>
        <v>0</v>
      </c>
    </row>
    <row r="158" spans="21:21">
      <c r="U158" s="30">
        <f ca="1">$U$1</f>
        <v>0</v>
      </c>
    </row>
    <row r="159" spans="21:21">
      <c r="U159" s="30">
        <f ca="1">$U$1</f>
        <v>0</v>
      </c>
    </row>
    <row r="160" spans="21:21">
      <c r="U160" s="30">
        <f ca="1">$U$1</f>
        <v>0</v>
      </c>
    </row>
    <row r="161" spans="21:21">
      <c r="U161" s="30">
        <f ca="1">$U$1</f>
        <v>0</v>
      </c>
    </row>
    <row r="162" spans="21:21">
      <c r="U162" s="30">
        <f ca="1">$U$1</f>
        <v>0</v>
      </c>
    </row>
    <row r="163" spans="21:21">
      <c r="U163" s="30">
        <f ca="1">$U$1</f>
        <v>0</v>
      </c>
    </row>
    <row r="164" spans="21:21">
      <c r="U164" s="30">
        <f ca="1">$U$1</f>
        <v>0</v>
      </c>
    </row>
    <row r="165" spans="21:21">
      <c r="U165" s="30">
        <f ca="1">$U$1</f>
        <v>0</v>
      </c>
    </row>
    <row r="166" spans="21:21">
      <c r="U166" s="30">
        <f ca="1">$U$1</f>
        <v>0</v>
      </c>
    </row>
    <row r="167" spans="21:21">
      <c r="U167" s="30">
        <f ca="1">$U$1</f>
        <v>0</v>
      </c>
    </row>
    <row r="168" spans="21:21">
      <c r="U168" s="30">
        <f ca="1">$U$1</f>
        <v>0</v>
      </c>
    </row>
    <row r="169" spans="21:21">
      <c r="U169" s="30">
        <f ca="1">$U$1</f>
        <v>0</v>
      </c>
    </row>
    <row r="170" spans="21:21">
      <c r="U170" s="30">
        <f ca="1">$U$1</f>
        <v>0</v>
      </c>
    </row>
    <row r="171" spans="21:21">
      <c r="U171" s="30">
        <f ca="1">$U$1</f>
        <v>0</v>
      </c>
    </row>
    <row r="172" spans="21:21">
      <c r="U172" s="30">
        <f ca="1">$U$1</f>
        <v>0</v>
      </c>
    </row>
    <row r="173" spans="21:21">
      <c r="U173" s="30">
        <f ca="1">$U$1</f>
        <v>0</v>
      </c>
    </row>
    <row r="174" spans="21:21">
      <c r="U174" s="30">
        <f ca="1">$U$1</f>
        <v>0</v>
      </c>
    </row>
  </sheetData>
  <autoFilter ref="A1:T179">
    <extLst/>
  </autoFilter>
  <pageMargins left="0.699305555555556" right="0.699305555555556" top="0.75" bottom="0.75" header="0.3" footer="0.3"/>
  <pageSetup paperSize="9" orientation="portrait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L13"/>
  <sheetViews>
    <sheetView topLeftCell="C1" workbookViewId="0">
      <selection activeCell="C1458" sqref="C1458"/>
    </sheetView>
  </sheetViews>
  <sheetFormatPr defaultColWidth="11" defaultRowHeight="16.8"/>
  <cols>
    <col min="1" max="1" width="11" style="1"/>
    <col min="2" max="2" width="23.7777777777778" style="17" customWidth="1"/>
    <col min="3" max="3" width="8.33333333333333" style="1" customWidth="1"/>
    <col min="4" max="4" width="57.1111111111111" style="1" customWidth="1"/>
    <col min="5" max="6" width="11" style="1" customWidth="1"/>
    <col min="7" max="7" width="12.8888888888889" style="1" customWidth="1"/>
    <col min="8" max="8" width="7.77777777777778" style="1" customWidth="1"/>
    <col min="9" max="9" width="10.4444444444444" style="1" customWidth="1"/>
    <col min="10" max="10" width="30.5555555555556" style="1" customWidth="1"/>
    <col min="11" max="11" width="21.6666666666667" style="18" customWidth="1"/>
    <col min="12" max="12" width="39.787037037037" style="1" customWidth="1"/>
    <col min="13" max="13" width="21.1111111111111" style="1" customWidth="1"/>
    <col min="14" max="16384" width="11" style="1"/>
  </cols>
  <sheetData>
    <row r="1" ht="36" customHeight="1" spans="1:12">
      <c r="A1" s="1" t="s">
        <v>28</v>
      </c>
      <c r="C1" s="5" t="s">
        <v>15</v>
      </c>
      <c r="D1" s="5" t="s">
        <v>3446</v>
      </c>
      <c r="E1" s="20" t="s">
        <v>3434</v>
      </c>
      <c r="F1" s="20" t="s">
        <v>3435</v>
      </c>
      <c r="G1" s="5" t="s">
        <v>3436</v>
      </c>
      <c r="H1" s="5" t="s">
        <v>3437</v>
      </c>
      <c r="I1" s="26" t="s">
        <v>3438</v>
      </c>
      <c r="J1" s="26">
        <v>1</v>
      </c>
      <c r="K1" s="27" t="s">
        <v>3440</v>
      </c>
      <c r="L1" s="1" t="s">
        <v>2898</v>
      </c>
    </row>
    <row r="2" ht="35.4" customHeight="1" spans="2:12">
      <c r="B2" s="1" t="s">
        <v>2898</v>
      </c>
      <c r="C2" s="12">
        <f ca="1">SUM($I$2:I2)</f>
        <v>1</v>
      </c>
      <c r="D2" s="14" t="str">
        <f ca="1">VLOOKUP(B2,DonGia,3,0)&amp;" tại các vị trí: "&amp;UPPER(L2)</f>
        <v>Móng bê tông trụ đôi 12m tại các vị trí: 89A, 95A, 101A, 113A, 120A, 129, 136A, 142A, 157A, 164A</v>
      </c>
      <c r="E2" s="21">
        <f ca="1">HLOOKUP(B2,BangKeTru!$1:$184,184,0)</f>
        <v>10</v>
      </c>
      <c r="F2" s="21">
        <f ca="1" t="shared" ref="F2:F11" si="0">IF(LEN(J2)&gt;0,(LEN(J2)-LEN(SUBSTITUTE(J2,", ","")))/2+1,0)</f>
        <v>10</v>
      </c>
      <c r="G2" s="22" t="s">
        <v>3441</v>
      </c>
      <c r="H2" s="23"/>
      <c r="I2" s="1">
        <f ca="1">IF(F2&gt;0,1,"")</f>
        <v>1</v>
      </c>
      <c r="J2" s="28" t="str">
        <f ca="1">UPPER(HLOOKUP($B2,$1:$3,$J$1+1,0))</f>
        <v>89A, 95A, 101A, 113A, 120A, 129, 136A, 142A, 157A, 164A</v>
      </c>
      <c r="K2" s="18">
        <v>43752</v>
      </c>
      <c r="L2" s="29" t="str">
        <f ca="1" t="array" ref="L2">_xlfn.TEXTJOIN(", ",TRUE,IF(($K2=BangKeTru!$E:$E)*(BangKeTru!AB:AB&gt;0),BangKeTru!$M:$M,""))</f>
        <v>89a, 95a, 101a, 113a, 120a, 129, 136a, 142a, 157a, 164a</v>
      </c>
    </row>
    <row r="3" ht="35.4" customHeight="1" spans="2:12">
      <c r="B3" s="28"/>
      <c r="C3" s="12">
        <f ca="1">SUM($I$2:I3)</f>
        <v>1</v>
      </c>
      <c r="D3" s="14" t="e">
        <f ca="1">VLOOKUP(B3,DonGia,3,0)&amp;" tại các vị trí: "&amp;J3</f>
        <v>#N/A</v>
      </c>
      <c r="E3" s="21" t="str">
        <f ca="1">HLOOKUP(B3,BangKeTru!$1:$184,184,0)</f>
        <v>Dự toán</v>
      </c>
      <c r="F3" s="21">
        <f ca="1" t="shared" si="0"/>
        <v>0</v>
      </c>
      <c r="G3" s="22" t="s">
        <v>3441</v>
      </c>
      <c r="H3" s="23"/>
      <c r="I3" s="1">
        <f ca="1" t="shared" ref="I3:I11" si="1">IF(F3&gt;0,1,0)</f>
        <v>0</v>
      </c>
      <c r="J3" s="28" t="str">
        <f ca="1">IF(LEN(B3)&gt;0,UPPER(HLOOKUP($B3,$1:$3,$J$1+1,0)),"")</f>
        <v/>
      </c>
      <c r="L3" s="29"/>
    </row>
    <row r="4" s="1" customFormat="1" ht="35.4" customHeight="1" spans="2:11">
      <c r="B4" s="28"/>
      <c r="C4" s="12">
        <f ca="1">SUM($I$2:I4)</f>
        <v>1</v>
      </c>
      <c r="D4" s="14" t="e">
        <f ca="1">VLOOKUP(B4,DonGia,3,0)&amp;" tại các vị trí: "&amp;J4</f>
        <v>#N/A</v>
      </c>
      <c r="E4" s="21" t="str">
        <f ca="1">HLOOKUP(B4,BangKeTru!$1:$184,184,0)</f>
        <v>Dự toán</v>
      </c>
      <c r="F4" s="21">
        <f ca="1" t="shared" si="0"/>
        <v>0</v>
      </c>
      <c r="G4" s="22" t="s">
        <v>3441</v>
      </c>
      <c r="H4" s="23"/>
      <c r="I4" s="1">
        <f ca="1" t="shared" si="1"/>
        <v>0</v>
      </c>
      <c r="J4" s="28" t="str">
        <f ca="1">IF(LEN(B4)&gt;0,UPPER(HLOOKUP($B4,$1:$3,$J$1+1,0)),"")</f>
        <v/>
      </c>
      <c r="K4" s="18"/>
    </row>
    <row r="5" s="1" customFormat="1" ht="35.4" customHeight="1" spans="2:11">
      <c r="B5" s="28"/>
      <c r="C5" s="12">
        <f ca="1">SUM($I$2:I5)</f>
        <v>1</v>
      </c>
      <c r="D5" s="14" t="e">
        <f ca="1">VLOOKUP(B5,DonGia,3,0)&amp;" tại các vị trí: "&amp;J5</f>
        <v>#N/A</v>
      </c>
      <c r="E5" s="21" t="str">
        <f ca="1">HLOOKUP(B5,BangKeTru!$1:$184,184,0)</f>
        <v>Dự toán</v>
      </c>
      <c r="F5" s="21">
        <f ca="1" t="shared" si="0"/>
        <v>0</v>
      </c>
      <c r="G5" s="22" t="s">
        <v>3441</v>
      </c>
      <c r="H5" s="23"/>
      <c r="I5" s="1">
        <f ca="1" t="shared" si="1"/>
        <v>0</v>
      </c>
      <c r="J5" s="28" t="str">
        <f ca="1">IF(LEN(B5)&gt;0,UPPER(HLOOKUP($B5,$1:$3,$J$1+1,0)),"")</f>
        <v/>
      </c>
      <c r="K5" s="18"/>
    </row>
    <row r="6" s="1" customFormat="1" ht="35.4" customHeight="1" spans="3:11">
      <c r="C6" s="24">
        <f ca="1">SUM($I$2:I6)</f>
        <v>1</v>
      </c>
      <c r="D6" s="14" t="e">
        <f ca="1">VLOOKUP(B6,DonGia,3,0)&amp;" tại các vị trí: "&amp;J6</f>
        <v>#N/A</v>
      </c>
      <c r="E6" s="21" t="str">
        <f ca="1">HLOOKUP(B6,BangKeTru!$1:$184,184,0)</f>
        <v>Dự toán</v>
      </c>
      <c r="F6" s="21">
        <f ca="1" t="shared" si="0"/>
        <v>0</v>
      </c>
      <c r="G6" s="22" t="s">
        <v>3441</v>
      </c>
      <c r="H6" s="13"/>
      <c r="I6" s="1">
        <f ca="1" t="shared" si="1"/>
        <v>0</v>
      </c>
      <c r="J6" s="28" t="str">
        <f ca="1">IF(LEN(B6)&gt;0,UPPER(HLOOKUP($B6,$1:$3,$J$1+1,0)),"")</f>
        <v/>
      </c>
      <c r="K6" s="18"/>
    </row>
    <row r="7" s="1" customFormat="1" ht="35.4" customHeight="1" spans="3:11">
      <c r="C7" s="24">
        <f ca="1">SUM($I$2:I7)</f>
        <v>1</v>
      </c>
      <c r="D7" s="14" t="e">
        <f ca="1">VLOOKUP(B7,DonGia,3,0)&amp;" tại các vị trí: "&amp;J7</f>
        <v>#N/A</v>
      </c>
      <c r="E7" s="21" t="str">
        <f ca="1">HLOOKUP(B7,BangKeTru!$1:$184,184,0)</f>
        <v>Dự toán</v>
      </c>
      <c r="F7" s="21">
        <f ca="1" t="shared" si="0"/>
        <v>0</v>
      </c>
      <c r="G7" s="22" t="s">
        <v>3441</v>
      </c>
      <c r="H7" s="13"/>
      <c r="I7" s="1">
        <f ca="1" t="shared" si="1"/>
        <v>0</v>
      </c>
      <c r="J7" s="28" t="str">
        <f ca="1">IF(LEN(B7)&gt;0,UPPER(HLOOKUP($B7,$1:$3,$J$1+1,0)),"")</f>
        <v/>
      </c>
      <c r="K7" s="18"/>
    </row>
    <row r="8" ht="35.4" customHeight="1" spans="2:10">
      <c r="B8" s="1"/>
      <c r="C8" s="24">
        <f ca="1">SUM($I$2:I8)</f>
        <v>1</v>
      </c>
      <c r="D8" s="14" t="e">
        <f ca="1">VLOOKUP(B8,DonGia,3,0)&amp;" tại các vị trí: "&amp;J8</f>
        <v>#N/A</v>
      </c>
      <c r="E8" s="21" t="str">
        <f ca="1">HLOOKUP(B8,BangKeTru!$1:$184,184,0)</f>
        <v>Dự toán</v>
      </c>
      <c r="F8" s="21">
        <f ca="1" t="shared" si="0"/>
        <v>0</v>
      </c>
      <c r="G8" s="22" t="s">
        <v>3441</v>
      </c>
      <c r="H8" s="13"/>
      <c r="I8" s="1">
        <f ca="1" t="shared" si="1"/>
        <v>0</v>
      </c>
      <c r="J8" s="28" t="str">
        <f ca="1">IF(LEN(B8)&gt;0,UPPER(HLOOKUP($B8,$1:$3,$J$1+1,0)),"")</f>
        <v/>
      </c>
    </row>
    <row r="9" ht="35.4" customHeight="1" spans="2:10">
      <c r="B9" s="1"/>
      <c r="C9" s="24">
        <f ca="1">SUM($I$2:I9)</f>
        <v>1</v>
      </c>
      <c r="D9" s="14" t="e">
        <f ca="1">VLOOKUP(B9,DonGia,3,0)&amp;" tại các vị trí: "&amp;J9</f>
        <v>#N/A</v>
      </c>
      <c r="E9" s="21" t="str">
        <f ca="1">HLOOKUP(B9,BangKeTru!$1:$184,184,0)</f>
        <v>Dự toán</v>
      </c>
      <c r="F9" s="21">
        <f ca="1" t="shared" si="0"/>
        <v>0</v>
      </c>
      <c r="G9" s="22" t="s">
        <v>3441</v>
      </c>
      <c r="H9" s="13"/>
      <c r="I9" s="1">
        <f ca="1" t="shared" si="1"/>
        <v>0</v>
      </c>
      <c r="J9" s="28" t="str">
        <f ca="1">IF(LEN(B9)&gt;0,UPPER(HLOOKUP($B9,$1:$3,$J$1+1,0)),"")</f>
        <v/>
      </c>
    </row>
    <row r="10" ht="35.4" customHeight="1" spans="2:10">
      <c r="B10" s="1"/>
      <c r="C10" s="24">
        <f ca="1">SUM($I$2:I10)</f>
        <v>1</v>
      </c>
      <c r="D10" s="14" t="e">
        <f ca="1">VLOOKUP(B10,DonGia,3,0)&amp;" tại các vị trí: "&amp;J10</f>
        <v>#N/A</v>
      </c>
      <c r="E10" s="21" t="str">
        <f ca="1">HLOOKUP(B10,BangKeTru!$1:$184,184,0)</f>
        <v>Dự toán</v>
      </c>
      <c r="F10" s="21">
        <f ca="1" t="shared" si="0"/>
        <v>0</v>
      </c>
      <c r="G10" s="22" t="s">
        <v>3441</v>
      </c>
      <c r="H10" s="13"/>
      <c r="I10" s="1">
        <f ca="1" t="shared" si="1"/>
        <v>0</v>
      </c>
      <c r="J10" s="28" t="str">
        <f ca="1">IF(LEN(B10)&gt;0,UPPER(HLOOKUP($B10,$1:$3,$J$1+1,0)),"")</f>
        <v/>
      </c>
    </row>
    <row r="11" ht="35.4" customHeight="1" spans="2:10">
      <c r="B11" s="30"/>
      <c r="C11" s="24">
        <f ca="1">SUM($I$2:I11)</f>
        <v>1</v>
      </c>
      <c r="D11" s="14" t="e">
        <f ca="1">VLOOKUP(B11,DonGia,3,0)&amp;" tại các vị trí: "&amp;J11</f>
        <v>#N/A</v>
      </c>
      <c r="E11" s="21" t="str">
        <f ca="1">HLOOKUP(B11,BangKeTru!$1:$184,184,0)</f>
        <v>Dự toán</v>
      </c>
      <c r="F11" s="21">
        <f ca="1" t="shared" si="0"/>
        <v>0</v>
      </c>
      <c r="G11" s="22" t="s">
        <v>3441</v>
      </c>
      <c r="H11" s="13"/>
      <c r="I11" s="1">
        <f ca="1" t="shared" si="1"/>
        <v>0</v>
      </c>
      <c r="J11" s="28" t="str">
        <f ca="1">IF(LEN(B11)&gt;0,UPPER(HLOOKUP($B11,$1:$3,$J$1+1,0)),"")</f>
        <v/>
      </c>
    </row>
    <row r="12" ht="29.4" customHeight="1" spans="3:9">
      <c r="C12" s="24"/>
      <c r="D12" s="5" t="s">
        <v>3444</v>
      </c>
      <c r="E12" s="25">
        <f ca="1">SUM(E2:E11)</f>
        <v>10</v>
      </c>
      <c r="F12" s="25">
        <f ca="1">SUM(F2:F11)</f>
        <v>10</v>
      </c>
      <c r="G12" s="24"/>
      <c r="H12" s="13"/>
      <c r="I12" s="1">
        <v>1</v>
      </c>
    </row>
    <row r="13" ht="18" customHeight="1"/>
  </sheetData>
  <autoFilter ref="A1:L187">
    <extLst/>
  </autoFilter>
  <pageMargins left="0.699305555555556" right="0.699305555555556" top="0.75" bottom="0.75" header="0.3" footer="0.3"/>
  <pageSetup paperSize="9" orientation="portrait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/>
  <dimension ref="A1:P34"/>
  <sheetViews>
    <sheetView workbookViewId="0">
      <selection activeCell="C1458" sqref="C1458"/>
    </sheetView>
  </sheetViews>
  <sheetFormatPr defaultColWidth="11" defaultRowHeight="16.8"/>
  <cols>
    <col min="1" max="1" width="11" style="1"/>
    <col min="2" max="2" width="23.7777777777778" style="17" customWidth="1"/>
    <col min="3" max="3" width="8.33333333333333" style="1" customWidth="1"/>
    <col min="4" max="4" width="47.1111111111111" style="1" customWidth="1"/>
    <col min="5" max="6" width="11" style="1" customWidth="1"/>
    <col min="7" max="7" width="12.8888888888889" style="1" customWidth="1"/>
    <col min="8" max="8" width="7.77777777777778" style="1" customWidth="1"/>
    <col min="9" max="9" width="10.4444444444444" style="1" customWidth="1"/>
    <col min="10" max="10" width="30.5555555555556" style="1" customWidth="1"/>
    <col min="11" max="11" width="21.6666666666667" style="18" customWidth="1"/>
    <col min="12" max="16" width="19.962962962963" style="1" customWidth="1"/>
    <col min="17" max="16384" width="11" style="1"/>
  </cols>
  <sheetData>
    <row r="1" ht="36" customHeight="1" spans="1:16">
      <c r="A1" s="1" t="s">
        <v>28</v>
      </c>
      <c r="B1" s="17">
        <f ca="1">INDEX(K:K,ROW()+J1+1,1)</f>
        <v>43751</v>
      </c>
      <c r="C1" s="5" t="s">
        <v>15</v>
      </c>
      <c r="D1" s="5" t="s">
        <v>3445</v>
      </c>
      <c r="E1" s="20" t="s">
        <v>3434</v>
      </c>
      <c r="F1" s="20" t="s">
        <v>3435</v>
      </c>
      <c r="G1" s="5" t="s">
        <v>3436</v>
      </c>
      <c r="H1" s="5" t="s">
        <v>3437</v>
      </c>
      <c r="I1" s="26" t="s">
        <v>3438</v>
      </c>
      <c r="J1" s="26">
        <v>2</v>
      </c>
      <c r="K1" s="27" t="s">
        <v>3440</v>
      </c>
      <c r="L1" s="1" t="s">
        <v>3070</v>
      </c>
      <c r="M1" s="1" t="s">
        <v>3074</v>
      </c>
      <c r="N1" s="1" t="s">
        <v>3078</v>
      </c>
      <c r="O1" s="1" t="s">
        <v>3082</v>
      </c>
      <c r="P1" s="1" t="s">
        <v>3084</v>
      </c>
    </row>
    <row r="2" ht="35.4" customHeight="1" spans="2:16">
      <c r="B2" s="1" t="s">
        <v>3070</v>
      </c>
      <c r="C2" s="12">
        <f ca="1">SUM($I$2:I2)</f>
        <v>1</v>
      </c>
      <c r="D2" s="14" t="str">
        <f ca="1">VLOOKUP(B2,DonGia,3,0)&amp;" tại các vị trí: "&amp;J2</f>
        <v>Bộ chằng xuống đơn cho trụ 12m: CX12-B tại các vị trí: 145, 153</v>
      </c>
      <c r="E2" s="21">
        <f ca="1">HLOOKUP(B2,BangKeTru!$1:$184,184,0)</f>
        <v>7</v>
      </c>
      <c r="F2" s="21">
        <f ca="1">HLOOKUP(B2,$1:$12,2,0)</f>
        <v>2</v>
      </c>
      <c r="G2" s="22"/>
      <c r="H2" s="23"/>
      <c r="I2" s="1">
        <f ca="1">IF(F2&gt;0,1,"")</f>
        <v>1</v>
      </c>
      <c r="J2" s="28" t="str">
        <f ca="1">UPPER(HLOOKUP($B2,$1:$4,$J$1+2,0))</f>
        <v>145, 153</v>
      </c>
      <c r="K2" s="18" t="s">
        <v>3447</v>
      </c>
      <c r="L2" s="1">
        <f ca="1">SUMIFS(BangKeTru!AD:AD,BangKeTru!$D:$D,$B$1)</f>
        <v>2</v>
      </c>
      <c r="M2" s="1">
        <f ca="1">SUMIFS(BangKeTru!AE:AE,BangKeTru!$D:$D,$B$1)</f>
        <v>1</v>
      </c>
      <c r="N2" s="1">
        <f ca="1">SUMIFS(BangKeTru!AF:AF,BangKeTru!$D:$D,$B$1)</f>
        <v>3</v>
      </c>
      <c r="O2" s="1">
        <f ca="1">SUMIFS(BangKeTru!AG:AG,BangKeTru!$D:$D,$B$1)</f>
        <v>2</v>
      </c>
      <c r="P2" s="1">
        <f ca="1">SUMIFS(BangKeTru!AH:AH,BangKeTru!$D:$D,$B$1)</f>
        <v>0</v>
      </c>
    </row>
    <row r="3" ht="35.4" customHeight="1" spans="2:16">
      <c r="B3" s="1" t="s">
        <v>3074</v>
      </c>
      <c r="C3" s="12">
        <f ca="1">SUM($I$2:I3)</f>
        <v>2</v>
      </c>
      <c r="D3" s="14" t="str">
        <f ca="1">VLOOKUP(B3,DonGia,3,0)&amp;" tại các vị trí: "&amp;J3</f>
        <v>Bộ chằng lệch đơn cho trụ 12m: CL12-B tại các vị trí: 167</v>
      </c>
      <c r="E3" s="21">
        <f ca="1">HLOOKUP(B3,BangKeTru!$1:$184,184,0)</f>
        <v>3</v>
      </c>
      <c r="F3" s="21">
        <f ca="1">HLOOKUP(B3,$1:$12,2,0)</f>
        <v>1</v>
      </c>
      <c r="G3" s="22"/>
      <c r="H3" s="23"/>
      <c r="I3" s="1">
        <f ca="1" t="shared" ref="I3:I6" si="0">IF(F3&gt;0,1,0)</f>
        <v>1</v>
      </c>
      <c r="J3" s="28" t="str">
        <f ca="1">UPPER(HLOOKUP($B3,$1:$4,$J$1+2,0))</f>
        <v>167</v>
      </c>
      <c r="K3" s="18">
        <v>43744</v>
      </c>
      <c r="L3" s="29" t="str">
        <f ca="1" t="array" ref="L3">_xlfn.TEXTJOIN(", ",TRUE,IF(($K3=BangKeTru!$D:$D)*(BangKeTru!AD:AD&gt;0),BangKeTru!$M:$M,""))</f>
        <v>107, 128, 134</v>
      </c>
      <c r="M3" s="29" t="str">
        <f ca="1" t="array" ref="M3">_xlfn.TEXTJOIN(", ",TRUE,IF(($K3=BangKeTru!$D:$D)*(BangKeTru!AE:AE&gt;0),BangKeTru!$M:$M,""))</f>
        <v>90, 110</v>
      </c>
      <c r="N3" s="29" t="str">
        <f ca="1" t="array" ref="N3">_xlfn.TEXTJOIN(", ",TRUE,IF(($K3=BangKeTru!$D:$D)*(BangKeTru!AF:AF&gt;0),BangKeTru!$M:$M,""))</f>
        <v/>
      </c>
      <c r="O3" s="29" t="str">
        <f ca="1" t="array" ref="O3">_xlfn.TEXTJOIN(", ",TRUE,IF(($K3=BangKeTru!$D:$D)*(BangKeTru!AG:AG&gt;0),BangKeTru!$M:$M,""))</f>
        <v/>
      </c>
      <c r="P3" s="29" t="str">
        <f ca="1" t="array" ref="P3">_xlfn.TEXTJOIN(", ",TRUE,IF(($K3=BangKeTru!$D:$D)*(BangKeTru!AH:AH&gt;0),BangKeTru!$M:$M,""))</f>
        <v>102</v>
      </c>
    </row>
    <row r="4" s="1" customFormat="1" ht="35.4" customHeight="1" spans="2:16">
      <c r="B4" s="1" t="s">
        <v>3078</v>
      </c>
      <c r="C4" s="12">
        <f ca="1">SUM($I$2:I4)</f>
        <v>3</v>
      </c>
      <c r="D4" s="14" t="str">
        <f ca="1">VLOOKUP(B4,DonGia,3,0)&amp;" tại các vị trí: "&amp;J4</f>
        <v>Bộ chằng xuống đơn cho trụ 14m: CX14-B tại các vị trí: 150, 171A</v>
      </c>
      <c r="E4" s="21">
        <f ca="1">HLOOKUP(B4,BangKeTru!$1:$184,184,0)</f>
        <v>2</v>
      </c>
      <c r="F4" s="21">
        <f ca="1">HLOOKUP(B4,$1:$12,2,0)</f>
        <v>3</v>
      </c>
      <c r="G4" s="22"/>
      <c r="H4" s="23"/>
      <c r="I4" s="1">
        <f ca="1" t="shared" si="0"/>
        <v>1</v>
      </c>
      <c r="J4" s="28" t="str">
        <f ca="1">UPPER(HLOOKUP($B4,$1:$4,$J$1+2,0))</f>
        <v>150, 171A</v>
      </c>
      <c r="K4" s="18">
        <v>43751</v>
      </c>
      <c r="L4" s="29" t="str">
        <f ca="1" t="array" ref="L4">_xlfn.TEXTJOIN(", ",TRUE,IF(($K4=BangKeTru!$D:$D)*(BangKeTru!AD:AD&gt;0),BangKeTru!$M:$M,""))</f>
        <v>145, 153</v>
      </c>
      <c r="M4" s="29" t="str">
        <f ca="1" t="array" ref="M4">_xlfn.TEXTJOIN(", ",TRUE,IF(($K4=BangKeTru!$D:$D)*(BangKeTru!AE:AE&gt;0),BangKeTru!$M:$M,""))</f>
        <v>167</v>
      </c>
      <c r="N4" s="29" t="str">
        <f ca="1" t="array" ref="N4">_xlfn.TEXTJOIN(", ",TRUE,IF(($K4=BangKeTru!$D:$D)*(BangKeTru!AF:AF&gt;0),BangKeTru!$M:$M,""))</f>
        <v>150, 171a</v>
      </c>
      <c r="O4" s="29" t="str">
        <f ca="1" t="array" ref="O4">_xlfn.TEXTJOIN(", ",TRUE,IF(($K4=BangKeTru!$D:$D)*(BangKeTru!AG:AG&gt;0),BangKeTru!$M:$M,""))</f>
        <v>171</v>
      </c>
      <c r="P4" s="29" t="str">
        <f ca="1" t="array" ref="P4">_xlfn.TEXTJOIN(", ",TRUE,IF(($K4=BangKeTru!$D:$D)*(BangKeTru!AH:AH&gt;0),BangKeTru!$M:$M,""))</f>
        <v/>
      </c>
    </row>
    <row r="5" s="1" customFormat="1" ht="35.4" customHeight="1" spans="2:11">
      <c r="B5" s="1" t="s">
        <v>3082</v>
      </c>
      <c r="C5" s="12">
        <f ca="1">SUM($I$2:I5)</f>
        <v>4</v>
      </c>
      <c r="D5" s="14" t="str">
        <f ca="1">VLOOKUP(B5,DonGia,3,0)&amp;" tại các vị trí: "&amp;J5</f>
        <v>Bộ chằng xuống kép cho trụ 14m: CXX14-B tại các vị trí: 171</v>
      </c>
      <c r="E5" s="21">
        <f ca="1">HLOOKUP(B5,BangKeTru!$1:$184,184,0)</f>
        <v>2</v>
      </c>
      <c r="F5" s="21">
        <f ca="1">HLOOKUP(B5,$1:$12,2,0)</f>
        <v>2</v>
      </c>
      <c r="G5" s="22"/>
      <c r="H5" s="23"/>
      <c r="I5" s="1">
        <f ca="1" t="shared" si="0"/>
        <v>1</v>
      </c>
      <c r="J5" s="28" t="str">
        <f ca="1">UPPER(HLOOKUP($B5,$1:$4,$J$1+2,0))</f>
        <v>171</v>
      </c>
      <c r="K5" s="18"/>
    </row>
    <row r="6" s="1" customFormat="1" ht="35.4" hidden="1" customHeight="1" spans="2:11">
      <c r="B6" s="1" t="s">
        <v>3084</v>
      </c>
      <c r="C6" s="24">
        <f ca="1">SUM($I$2:I6)</f>
        <v>4</v>
      </c>
      <c r="D6" s="14" t="str">
        <f ca="1">VLOOKUP(B6,DonGia,3,0)&amp;" tại các vị trí: "&amp;J6</f>
        <v>Bộ chằng vượt đơn: CK-B tại các vị trí: </v>
      </c>
      <c r="E6" s="21">
        <f ca="1">HLOOKUP(B6,BangKeTru!$1:$184,184,0)</f>
        <v>1</v>
      </c>
      <c r="F6" s="21">
        <f ca="1">HLOOKUP(B6,$1:$12,2,0)</f>
        <v>0</v>
      </c>
      <c r="G6" s="22"/>
      <c r="H6" s="13"/>
      <c r="I6" s="1">
        <f ca="1" t="shared" si="0"/>
        <v>0</v>
      </c>
      <c r="J6" s="28" t="str">
        <f ca="1">UPPER(HLOOKUP($B6,$1:$4,$J$1+2,0))</f>
        <v/>
      </c>
      <c r="K6" s="18"/>
    </row>
    <row r="7" ht="29.4" customHeight="1" spans="3:9">
      <c r="C7" s="24"/>
      <c r="D7" s="5" t="s">
        <v>3444</v>
      </c>
      <c r="E7" s="25">
        <f ca="1">SUM(E2:E6)</f>
        <v>15</v>
      </c>
      <c r="F7" s="25">
        <f ca="1">SUM(F2:F6)</f>
        <v>8</v>
      </c>
      <c r="G7" s="24"/>
      <c r="H7" s="13"/>
      <c r="I7" s="1">
        <v>1</v>
      </c>
    </row>
    <row r="8" ht="18" customHeight="1"/>
    <row r="17" spans="12:14">
      <c r="L17" s="18"/>
      <c r="M17" s="18"/>
      <c r="N17" s="18"/>
    </row>
    <row r="18" spans="12:14">
      <c r="L18" s="18"/>
      <c r="M18" s="18"/>
      <c r="N18" s="18"/>
    </row>
    <row r="19" spans="12:14">
      <c r="L19" s="18"/>
      <c r="M19" s="18"/>
      <c r="N19" s="18"/>
    </row>
    <row r="20" spans="12:14">
      <c r="L20" s="18"/>
      <c r="M20" s="18"/>
      <c r="N20" s="18"/>
    </row>
    <row r="21" spans="12:14">
      <c r="L21" s="18"/>
      <c r="M21" s="18"/>
      <c r="N21" s="18"/>
    </row>
    <row r="22" spans="12:14">
      <c r="L22" s="18"/>
      <c r="M22" s="18"/>
      <c r="N22" s="18"/>
    </row>
    <row r="23" spans="12:14">
      <c r="L23" s="18"/>
      <c r="M23" s="18"/>
      <c r="N23" s="18"/>
    </row>
    <row r="24" spans="12:14">
      <c r="L24" s="18"/>
      <c r="M24" s="18"/>
      <c r="N24" s="18"/>
    </row>
    <row r="25" spans="12:14">
      <c r="L25" s="18"/>
      <c r="M25" s="18"/>
      <c r="N25" s="18"/>
    </row>
    <row r="26" spans="12:14">
      <c r="L26" s="18"/>
      <c r="M26" s="18"/>
      <c r="N26" s="18"/>
    </row>
    <row r="27" spans="12:14">
      <c r="L27" s="18"/>
      <c r="M27" s="18"/>
      <c r="N27" s="18"/>
    </row>
    <row r="28" spans="12:14">
      <c r="L28" s="18"/>
      <c r="M28" s="18"/>
      <c r="N28" s="18"/>
    </row>
    <row r="29" spans="12:14">
      <c r="L29" s="18"/>
      <c r="M29" s="18"/>
      <c r="N29" s="18"/>
    </row>
    <row r="30" spans="12:14">
      <c r="L30" s="18"/>
      <c r="M30" s="18"/>
      <c r="N30" s="18"/>
    </row>
    <row r="31" spans="12:14">
      <c r="L31" s="18"/>
      <c r="M31" s="18"/>
      <c r="N31" s="18"/>
    </row>
    <row r="32" spans="12:14">
      <c r="L32" s="18"/>
      <c r="M32" s="18"/>
      <c r="N32" s="18"/>
    </row>
    <row r="33" spans="12:14">
      <c r="L33" s="18"/>
      <c r="M33" s="18"/>
      <c r="N33" s="18"/>
    </row>
    <row r="34" spans="12:14">
      <c r="L34" s="18"/>
      <c r="M34" s="18"/>
      <c r="N34" s="18"/>
    </row>
  </sheetData>
  <autoFilter ref="A1:L182">
    <filterColumn colId="8">
      <customFilters>
        <customFilter operator="equal" val=""/>
        <customFilter operator="equal" val="1"/>
      </customFilters>
    </filterColumn>
    <extLst/>
  </autoFilter>
  <pageMargins left="0.699305555555556" right="0.699305555555556" top="0.75" bottom="0.75" header="0.3" footer="0.3"/>
  <pageSetup paperSize="9" orientation="portrait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/>
  <dimension ref="A1:Q188"/>
  <sheetViews>
    <sheetView workbookViewId="0">
      <selection activeCell="C1458" sqref="C1458"/>
    </sheetView>
  </sheetViews>
  <sheetFormatPr defaultColWidth="11" defaultRowHeight="16.8"/>
  <cols>
    <col min="1" max="1" width="11" style="1"/>
    <col min="2" max="2" width="23.7777777777778" style="17" customWidth="1"/>
    <col min="3" max="3" width="6.33333333333333" style="1" customWidth="1"/>
    <col min="4" max="4" width="45.7777777777778" style="1" customWidth="1"/>
    <col min="5" max="6" width="9.11111111111111" style="1" customWidth="1"/>
    <col min="7" max="7" width="12.8888888888889" style="1" customWidth="1"/>
    <col min="8" max="8" width="7.77777777777778" style="1" customWidth="1"/>
    <col min="9" max="9" width="10.4444444444444" style="1" customWidth="1"/>
    <col min="10" max="10" width="17.2222222222222" style="1" customWidth="1"/>
    <col min="11" max="11" width="21.6666666666667" style="18" customWidth="1"/>
    <col min="12" max="17" width="15.2222222222222" style="1" customWidth="1"/>
    <col min="18" max="16384" width="11" style="1"/>
  </cols>
  <sheetData>
    <row r="1" ht="36" customHeight="1" spans="1:17">
      <c r="A1" s="1" t="s">
        <v>28</v>
      </c>
      <c r="B1" s="19">
        <f ca="1">INDEX(K:K,ROW()+J1+1,1)</f>
        <v>43778</v>
      </c>
      <c r="C1" s="5" t="s">
        <v>15</v>
      </c>
      <c r="D1" s="5" t="s">
        <v>3445</v>
      </c>
      <c r="E1" s="20" t="s">
        <v>3434</v>
      </c>
      <c r="F1" s="20" t="s">
        <v>3435</v>
      </c>
      <c r="G1" s="5" t="s">
        <v>3436</v>
      </c>
      <c r="H1" s="5" t="s">
        <v>3437</v>
      </c>
      <c r="I1" s="26" t="s">
        <v>3438</v>
      </c>
      <c r="J1" s="26">
        <v>5</v>
      </c>
      <c r="K1" s="27" t="s">
        <v>3440</v>
      </c>
      <c r="L1" s="1" t="s">
        <v>3003</v>
      </c>
      <c r="M1" s="1" t="s">
        <v>3284</v>
      </c>
      <c r="N1" s="1" t="s">
        <v>3026</v>
      </c>
      <c r="O1" s="1" t="s">
        <v>3028</v>
      </c>
      <c r="P1" s="1" t="s">
        <v>3179</v>
      </c>
      <c r="Q1" s="1" t="s">
        <v>3189</v>
      </c>
    </row>
    <row r="2" ht="35.4" hidden="1" customHeight="1" spans="2:17">
      <c r="B2" s="1" t="s">
        <v>3003</v>
      </c>
      <c r="C2" s="12">
        <f ca="1">SUM($I$2:I2)</f>
        <v>0</v>
      </c>
      <c r="D2" s="14" t="str">
        <f ca="1">VLOOKUP(B2,DonGia,3,0)&amp;" tại các vị trí: "&amp;J2</f>
        <v>Bộ xà đơn L75x75x8 dài 2.2m: X-22Đ - C810 tại các vị trí: </v>
      </c>
      <c r="E2" s="21">
        <f ca="1">HLOOKUP(B2,BangKeTru!$1:$184,184,0)</f>
        <v>5</v>
      </c>
      <c r="F2" s="21">
        <f ca="1">HLOOKUP(B2,$1:$12,2,0)</f>
        <v>0</v>
      </c>
      <c r="G2" s="22"/>
      <c r="H2" s="23"/>
      <c r="I2" s="1" t="str">
        <f ca="1">IF(F2&gt;0,1,"")</f>
        <v/>
      </c>
      <c r="J2" s="28" t="s">
        <v>3448</v>
      </c>
      <c r="K2" s="18" t="s">
        <v>3447</v>
      </c>
      <c r="L2" s="1">
        <f ca="1">SUMIFS(BangKeTru!AM:AM,NTPhuKien,$B$1)</f>
        <v>0</v>
      </c>
      <c r="M2" s="1">
        <f ca="1">SUMIFS(BangKeTru!AN:AN,NTPhuKien,$B$1)</f>
        <v>0</v>
      </c>
      <c r="N2" s="1">
        <f ca="1">SUMIFS(BangKeTru!AO:AO,NTPhuKien,$B$1)</f>
        <v>14</v>
      </c>
      <c r="O2" s="1">
        <f ca="1">SUMIFS(BangKeTru!AP:AP,NTPhuKien,$B$1)</f>
        <v>1</v>
      </c>
      <c r="P2" s="1">
        <f ca="1">SUMIFS(BangKeTru!AQ:AQ,NTPhuKien,$B$1)</f>
        <v>48</v>
      </c>
      <c r="Q2" s="1">
        <f ca="1">SUMIFS(BangKeTru!AR:AR,NTPhuKien,$B$1)</f>
        <v>0</v>
      </c>
    </row>
    <row r="3" ht="35.4" hidden="1" customHeight="1" spans="2:17">
      <c r="B3" s="1" t="s">
        <v>3284</v>
      </c>
      <c r="C3" s="12">
        <f ca="1">SUM($I$2:I3)</f>
        <v>0</v>
      </c>
      <c r="D3" s="14" t="str">
        <f ca="1">VLOOKUP(B3,DonGia,3,0)&amp;" tại các vị trí: "&amp;J3</f>
        <v>Bộ xà kép L75x75x8 dài 2.2m: X-22K-Đ - C810 (lắp trụ đơn) tại các vị trí: </v>
      </c>
      <c r="E3" s="21">
        <f ca="1">HLOOKUP(B3,BangKeTru!$1:$184,184,0)</f>
        <v>10</v>
      </c>
      <c r="F3" s="21">
        <f ca="1">HLOOKUP(B3,$1:$12,2,0)</f>
        <v>0</v>
      </c>
      <c r="G3" s="22"/>
      <c r="H3" s="23"/>
      <c r="I3" s="1">
        <f ca="1" t="shared" ref="I3:I12" si="0">IF(F3&gt;0,1,0)</f>
        <v>0</v>
      </c>
      <c r="J3" s="28" t="str">
        <f ca="1">UPPER(HLOOKUP($B3,$1:$13,$J$1+2,0))</f>
        <v/>
      </c>
      <c r="K3" s="18">
        <v>43744</v>
      </c>
      <c r="L3" s="29" t="str">
        <f ca="1" t="array" ref="L3">_xlfn.TEXTJOIN(", ",TRUE,IF(($K3=NTPhuKien)*(BangKeTru!AM:AM&gt;0),BangKeTru!$M:$M,""))</f>
        <v>107, 128, 129</v>
      </c>
      <c r="M3" s="29" t="str">
        <f ca="1" t="array" ref="M3">_xlfn.TEXTJOIN(", ",TRUE,IF(($K3=NTPhuKien)*(BangKeTru!AN:AN&gt;0),BangKeTru!$M:$M,""))</f>
        <v>89a, 95a, 101a, 113a, 120a, 129, 136a</v>
      </c>
      <c r="N3" s="29" t="str">
        <f ca="1" t="array" ref="N3">_xlfn.TEXTJOIN(", ",TRUE,IF(($K3=NTPhuKien)*(BangKeTru!AO:AO&gt;0),BangKeTru!$M:$M,""))</f>
        <v>90a, 91a, 92a, 93a, 94a, 96a, 97a, 98a, 99a, 100a, 101, 102a, 103a, 104a, 105a, 106, 106a, 107a, 108a, 109a, 110a, 111a, 111b, 112a, 114a, 115, 115a, 116, 116a, 117a, 118a, 119a, 121a, 122a, 123, 123a, 124a, 125a, 126a, 127, 127a, 128a, 129a, 130a, 131a, 133a, 134a, 135a</v>
      </c>
      <c r="O3" s="29" t="str">
        <f ca="1" t="array" ref="O3">_xlfn.TEXTJOIN(", ",TRUE,IF(($K3=NTPhuKien)*(BangKeTru!AP:AP&gt;0),BangKeTru!$M:$M,""))</f>
        <v>102</v>
      </c>
      <c r="P3" s="29" t="str">
        <f ca="1" t="array" ref="P3">_xlfn.TEXTJOIN(", ",TRUE,IF(($K3=NTPhuKien)*(BangKeTru!AQ:AQ&gt;0),BangKeTru!$M:$M,""))</f>
        <v>89a, 90a, 91a, 92a, 93a, 94a, 95a, 96a, 97a, 98a, 99a, 100a, 101, 101a, 102, 102a, 103a, 104a, 105a, 106, 106a, 107, 107a, 108a, 109a, 110a, 111a, 111b, 112a, 113a, 114a, 115, 115a, 116, 116a, 117a, 118a, 119a, 120a, 121a, 122a, 123, 123a, 124a, 125a, 126a, 127, 127a, 128, 128a, 129, 129a, 130a, 131a, 133a, 134a, 135a, 136a</v>
      </c>
      <c r="Q3" s="29" t="str">
        <f ca="1" t="array" ref="Q3">_xlfn.TEXTJOIN(", ",TRUE,IF(($K3=NTPhuKien)*(BangKeTru!AR:AR&gt;0),BangKeTru!$M:$M,""))</f>
        <v>89a, 95a, 101a, 107, 113a, 120a, 128, 129, 136a</v>
      </c>
    </row>
    <row r="4" s="1" customFormat="1" ht="35.4" customHeight="1" spans="2:17">
      <c r="B4" s="1" t="s">
        <v>3026</v>
      </c>
      <c r="C4" s="12">
        <f ca="1">SUM($I$2:I4)</f>
        <v>1</v>
      </c>
      <c r="D4" s="14" t="str">
        <f ca="1">VLOOKUP(B4,DonGia,3,0)&amp;" tại các vị trí: "&amp;J4</f>
        <v>Bộ xà lệch đơn L75x75x8 dài 2m: X-20ĐL2/3 tại các vị trí: 130, 131, 132, 132A, 132B, 133, 135, 136, 138, 139, 139A, 140, 141, 142</v>
      </c>
      <c r="E4" s="21">
        <f ca="1">HLOOKUP(B4,BangKeTru!$1:$184,184,0)</f>
        <v>151</v>
      </c>
      <c r="F4" s="21">
        <f ca="1">HLOOKUP(B4,$1:$12,2,0)</f>
        <v>14</v>
      </c>
      <c r="G4" s="22"/>
      <c r="H4" s="23"/>
      <c r="I4" s="1">
        <f ca="1" t="shared" si="0"/>
        <v>1</v>
      </c>
      <c r="J4" s="28" t="str">
        <f ca="1">UPPER(HLOOKUP($B4,$1:$13,$J$1+2,0))</f>
        <v>130, 131, 132, 132A, 132B, 133, 135, 136, 138, 139, 139A, 140, 141, 142</v>
      </c>
      <c r="K4" s="18">
        <v>43751</v>
      </c>
      <c r="L4" s="29" t="str">
        <f ca="1" t="array" ref="L4">_xlfn.TEXTJOIN(", ",TRUE,IF(($K4=NTPhuKien)*(BangKeTru!AM:AM&gt;0),BangKeTru!$M:$M,""))</f>
        <v>150, 171</v>
      </c>
      <c r="M4" s="29" t="str">
        <f ca="1" t="array" ref="M4">_xlfn.TEXTJOIN(", ",TRUE,IF(($K4=NTPhuKien)*(BangKeTru!AN:AN&gt;0),BangKeTru!$M:$M,""))</f>
        <v>142a, 157a, 164a</v>
      </c>
      <c r="N4" s="29" t="str">
        <f ca="1" t="array" ref="N4">_xlfn.TEXTJOIN(", ",TRUE,IF(($K4=NTPhuKien)*(BangKeTru!AO:AO&gt;0),BangKeTru!$M:$M,""))</f>
        <v>137, 137a, 138a, 139B, 140a, 141a, 143a, 144a, 145B, 146a, 147, 147a, 148, 148a, 149a, 150a, 151a, 152a, 153a, 154a, 155a, 156a, 158a, 159a, 160a, 161, 162a, 163a, 164, 165a, 167a, 168a, 169, 169a, 170a, 172a, 173a</v>
      </c>
      <c r="O4" s="29" t="str">
        <f ca="1" t="array" ref="O4">_xlfn.TEXTJOIN(", ",TRUE,IF(($K4=NTPhuKien)*(BangKeTru!AP:AP&gt;0),BangKeTru!$M:$M,""))</f>
        <v>171a, 172</v>
      </c>
      <c r="P4" s="29" t="str">
        <f ca="1" t="array" ref="P4">_xlfn.TEXTJOIN(", ",TRUE,IF(($K4=NTPhuKien)*(BangKeTru!AQ:AQ&gt;0),BangKeTru!$M:$M,""))</f>
        <v>137, 137a, 138a, 139B, 140a, 141a, 142a, 143a, 144a, 145B, 146a, 147, 147a, 148, 148a, 149a, 150, 150a, 151a, 152a, 153a, 154a, 155a, 156a, 157a, 158a, 159a, 160a, 161, 162a, 163a, 164, 164a, 165a, 167a, 168a, 169, 169a, 170a, 171, 171a, 172, 172a, 173a</v>
      </c>
      <c r="Q4" s="29" t="str">
        <f ca="1" t="array" ref="Q4">_xlfn.TEXTJOIN(", ",TRUE,IF(($K4=NTPhuKien)*(BangKeTru!AR:AR&gt;0),BangKeTru!$M:$M,""))</f>
        <v>142a, 150, 157a, 164a, 171</v>
      </c>
    </row>
    <row r="5" s="1" customFormat="1" ht="35.4" customHeight="1" spans="2:17">
      <c r="B5" s="1" t="s">
        <v>3028</v>
      </c>
      <c r="C5" s="12">
        <f ca="1">SUM($I$2:I5)</f>
        <v>2</v>
      </c>
      <c r="D5" s="14" t="str">
        <f ca="1">VLOOKUP(B5,DonGia,3,0)&amp;" tại các vị trí: "&amp;J5</f>
        <v>Bộ xà lệch kép L75x75x8 dài 2m: X-20KL2/3 tại các vị trí: 134</v>
      </c>
      <c r="E5" s="21">
        <f ca="1">HLOOKUP(B5,BangKeTru!$1:$184,184,0)</f>
        <v>8</v>
      </c>
      <c r="F5" s="21">
        <f ca="1">HLOOKUP(B5,$1:$12,2,0)</f>
        <v>1</v>
      </c>
      <c r="G5" s="22"/>
      <c r="H5" s="23"/>
      <c r="I5" s="1">
        <f ca="1" t="shared" si="0"/>
        <v>1</v>
      </c>
      <c r="J5" s="28" t="str">
        <f ca="1">UPPER(HLOOKUP($B5,$1:$13,$J$1+2,0))</f>
        <v>134</v>
      </c>
      <c r="K5" s="18">
        <v>43757</v>
      </c>
      <c r="L5" s="29" t="str">
        <f ca="1" t="array" ref="L5">_xlfn.TEXTJOIN(", ",TRUE,IF(($K5=NTPhuKien)*(BangKeTru!AM:AM&gt;0),BangKeTru!$M:$M,""))</f>
        <v/>
      </c>
      <c r="M5" s="29" t="str">
        <f ca="1" t="array" ref="M5">_xlfn.TEXTJOIN(", ",TRUE,IF(($K5=NTPhuKien)*(BangKeTru!AN:AN&gt;0),BangKeTru!$M:$M,""))</f>
        <v/>
      </c>
      <c r="N5" s="29" t="str">
        <f ca="1" t="array" ref="N5">_xlfn.TEXTJOIN(", ",TRUE,IF(($K5=NTPhuKien)*(BangKeTru!AO:AO&gt;0),BangKeTru!$M:$M,""))</f>
        <v>91, 92, 93, 94, 95, 96, 97, 98, 99, 100, 103, 104, 105, 108, 109, 111, 112, 113, 114, 117, 118, 119, 120, 121, 122, 124, 125, 126</v>
      </c>
      <c r="O5" s="29" t="str">
        <f ca="1" t="array" ref="O5">_xlfn.TEXTJOIN(", ",TRUE,IF(($K5=NTPhuKien)*(BangKeTru!AP:AP&gt;0),BangKeTru!$M:$M,""))</f>
        <v>90, 110</v>
      </c>
      <c r="P5" s="29" t="str">
        <f ca="1" t="array" ref="P5">_xlfn.TEXTJOIN(", ",TRUE,IF(($K5=NTPhuKien)*(BangKeTru!AQ:AQ&gt;0),BangKeTru!$M:$M,""))</f>
        <v>90, 91, 92, 93, 94, 95, 96, 97, 98, 99, 100, 103, 104, 105, 108, 109, 110, 111, 112, 113, 114, 117, 118, 119, 120, 121, 122, 124, 125, 126</v>
      </c>
      <c r="Q5" s="29" t="str">
        <f ca="1" t="array" ref="Q5">_xlfn.TEXTJOIN(", ",TRUE,IF(($K5=NTPhuKien)*(BangKeTru!AR:AR&gt;0),BangKeTru!$M:$M,""))</f>
        <v>89</v>
      </c>
    </row>
    <row r="6" s="1" customFormat="1" ht="47" customHeight="1" spans="2:17">
      <c r="B6" s="1" t="s">
        <v>3179</v>
      </c>
      <c r="C6" s="24">
        <f ca="1">SUM($I$2:I6)</f>
        <v>3</v>
      </c>
      <c r="D6" s="14" t="str">
        <f ca="1">VLOOKUP(B6,DonGia,3,0)&amp;" tại các vị trí: "&amp;J6</f>
        <v>Bộ cách điện đứng+ty sứ : SĐU tại các vị trí: 130, 131, 132, 132A, 132B, 133, 134, 135, 136, 138, 139, 139A, 140, 141, 142</v>
      </c>
      <c r="E6" s="21">
        <f ca="1">HLOOKUP(B6,BangKeTru!$1:$184,184,0)</f>
        <v>591</v>
      </c>
      <c r="F6" s="21">
        <f ca="1">HLOOKUP(B6,$1:$12,2,0)</f>
        <v>48</v>
      </c>
      <c r="G6" s="22"/>
      <c r="H6" s="13"/>
      <c r="I6" s="1">
        <f ca="1" t="shared" si="0"/>
        <v>1</v>
      </c>
      <c r="J6" s="28" t="str">
        <f ca="1">UPPER(HLOOKUP($B6,$1:$13,$J$1+2,0))</f>
        <v>130, 131, 132, 132A, 132B, 133, 134, 135, 136, 138, 139, 139A, 140, 141, 142</v>
      </c>
      <c r="K6" s="18">
        <v>43765</v>
      </c>
      <c r="L6" s="29" t="str">
        <f ca="1" t="array" ref="L6">_xlfn.TEXTJOIN(", ",TRUE,IF(($K6=NTPhuKien)*(BangKeTru!AM:AM&gt;0),BangKeTru!$M:$M,""))</f>
        <v/>
      </c>
      <c r="M6" s="29" t="str">
        <f ca="1" t="array" ref="M6">_xlfn.TEXTJOIN(", ",TRUE,IF(($K6=NTPhuKien)*(BangKeTru!AN:AN&gt;0),BangKeTru!$M:$M,""))</f>
        <v/>
      </c>
      <c r="N6" s="29" t="str">
        <f ca="1" t="array" ref="N6">_xlfn.TEXTJOIN(", ",TRUE,IF(($K6=NTPhuKien)*(BangKeTru!AO:AO&gt;0),BangKeTru!$M:$M,""))</f>
        <v>143, 144, 145A, 146, 149, 151, 152, 154, 155, 156, 157, 158, 159, 160, 161A, 162, 163, 165, 166, 166A, 168, 170, 173</v>
      </c>
      <c r="O6" s="29" t="str">
        <f ca="1" t="array" ref="O6">_xlfn.TEXTJOIN(", ",TRUE,IF(($K6=NTPhuKien)*(BangKeTru!AP:AP&gt;0),BangKeTru!$M:$M,""))</f>
        <v>145, 153, 167</v>
      </c>
      <c r="P6" s="29" t="str">
        <f ca="1" t="array" ref="P6">_xlfn.TEXTJOIN(", ",TRUE,IF(($K6=NTPhuKien)*(BangKeTru!AQ:AQ&gt;0),BangKeTru!$M:$M,""))</f>
        <v>143, 144, 145, 145A, 146, 149, 151, 152, 153, 154, 155, 156, 157, 158, 159, 160, 161A, 162, 163, 165, 166, 166A, 167, 168, 170, 173, 174</v>
      </c>
      <c r="Q6" s="29" t="str">
        <f ca="1" t="array" ref="Q6">_xlfn.TEXTJOIN(", ",TRUE,IF(($K6=NTPhuKien)*(BangKeTru!AR:AR&gt;0),BangKeTru!$M:$M,""))</f>
        <v/>
      </c>
    </row>
    <row r="7" s="1" customFormat="1" ht="35.4" hidden="1" customHeight="1" spans="2:17">
      <c r="B7" s="1" t="s">
        <v>3189</v>
      </c>
      <c r="C7" s="24">
        <f ca="1">SUM($I$2:I7)</f>
        <v>3</v>
      </c>
      <c r="D7" s="14" t="str">
        <f ca="1">VLOOKUP(B7,DonGia,3,0)&amp;" tại các vị trí: "&amp;J7</f>
        <v>Chuỗi sứ treo Polymer 25kV lắp vào xà : CĐT ply-X tại các vị trí: </v>
      </c>
      <c r="E7" s="21">
        <f ca="1">HLOOKUP(B7,BangKeTru!$1:$184,184,0)</f>
        <v>93</v>
      </c>
      <c r="F7" s="21">
        <f ca="1">HLOOKUP(B7,$1:$12,2,0)</f>
        <v>0</v>
      </c>
      <c r="G7" s="22"/>
      <c r="H7" s="13"/>
      <c r="I7" s="1">
        <f ca="1" t="shared" si="0"/>
        <v>0</v>
      </c>
      <c r="J7" s="28" t="str">
        <f ca="1">UPPER(HLOOKUP($B7,$1:$13,$J$1+2,0))</f>
        <v/>
      </c>
      <c r="K7" s="18">
        <v>43778</v>
      </c>
      <c r="L7" s="29" t="str">
        <f ca="1" t="array" ref="L7">_xlfn.TEXTJOIN(", ",TRUE,IF(($K7=NTPhuKien)*(BangKeTru!AM:AM&gt;0),BangKeTru!$M:$M,""))</f>
        <v/>
      </c>
      <c r="M7" s="29" t="str">
        <f ca="1" t="array" ref="M7">_xlfn.TEXTJOIN(", ",TRUE,IF(($K7=NTPhuKien)*(BangKeTru!AN:AN&gt;0),BangKeTru!$M:$M,""))</f>
        <v/>
      </c>
      <c r="N7" s="29" t="str">
        <f ca="1" t="array" ref="N7">_xlfn.TEXTJOIN(", ",TRUE,IF(($K7=NTPhuKien)*(BangKeTru!AO:AO&gt;0),BangKeTru!$M:$M,""))</f>
        <v>130, 131, 132, 132A, 132B, 133, 135, 136, 138, 139, 139A, 140, 141, 142</v>
      </c>
      <c r="O7" s="29" t="str">
        <f ca="1" t="array" ref="O7">_xlfn.TEXTJOIN(", ",TRUE,IF(($K7=NTPhuKien)*(BangKeTru!AP:AP&gt;0),BangKeTru!$M:$M,""))</f>
        <v>134</v>
      </c>
      <c r="P7" s="29" t="str">
        <f t="array" ref="P7">_xlfn.TEXTJOIN(", ",TRUE,IF(($K7=NTPhuKien)*(BangKeTru!AQ:AQ&gt;0),BangKeTru!$M:$M,""))</f>
        <v>130, 131, 132, 132A, 132B, 133, 134, 135, 136, 138, 139, 139A, 140, 141, 142</v>
      </c>
      <c r="Q7" s="29" t="str">
        <f t="array" ref="Q7">_xlfn.TEXTJOIN(", ",TRUE,IF(($K7=NTPhuKien)*(BangKeTru!AR:AR&gt;0),BangKeTru!$M:$M,""))</f>
        <v/>
      </c>
    </row>
    <row r="8" s="1" customFormat="1" ht="35.4" hidden="1" customHeight="1" spans="3:11">
      <c r="C8" s="24">
        <f ca="1">SUM($I$2:I8)</f>
        <v>3</v>
      </c>
      <c r="D8" s="14" t="e">
        <f ca="1">VLOOKUP(B8,DonGia,3,0)&amp;" tại các vị trí: "&amp;J8</f>
        <v>#N/A</v>
      </c>
      <c r="E8" s="21" t="str">
        <f ca="1">HLOOKUP(B8,BangKeTru!$1:$184,184,0)</f>
        <v>Dự toán</v>
      </c>
      <c r="F8" s="21">
        <f ca="1">IFERROR(HLOOKUP(B8,$1:$12,2,0),0)</f>
        <v>0</v>
      </c>
      <c r="G8" s="22"/>
      <c r="H8" s="13"/>
      <c r="I8" s="1">
        <f ca="1" t="shared" si="0"/>
        <v>0</v>
      </c>
      <c r="J8" s="28" t="e">
        <f ca="1">UPPER(HLOOKUP($B8,$1:$13,$J$1+2,0))</f>
        <v>#N/A</v>
      </c>
      <c r="K8" s="18"/>
    </row>
    <row r="9" s="1" customFormat="1" ht="35.4" hidden="1" customHeight="1" spans="3:11">
      <c r="C9" s="24">
        <f ca="1">SUM($I$2:I9)</f>
        <v>3</v>
      </c>
      <c r="D9" s="14" t="e">
        <f ca="1">VLOOKUP(B9,DonGia,3,0)&amp;" tại các vị trí: "&amp;J9</f>
        <v>#N/A</v>
      </c>
      <c r="E9" s="21" t="str">
        <f ca="1">HLOOKUP(B9,BangKeTru!$1:$184,184,0)</f>
        <v>Dự toán</v>
      </c>
      <c r="F9" s="21">
        <f ca="1">IFERROR(HLOOKUP(B9,$1:$12,2,0),0)</f>
        <v>0</v>
      </c>
      <c r="G9" s="22"/>
      <c r="H9" s="13"/>
      <c r="I9" s="1">
        <f ca="1" t="shared" si="0"/>
        <v>0</v>
      </c>
      <c r="J9" s="28" t="e">
        <f ca="1">UPPER(HLOOKUP($B9,$1:$13,$J$1+2,0))</f>
        <v>#N/A</v>
      </c>
      <c r="K9" s="18"/>
    </row>
    <row r="10" s="1" customFormat="1" ht="35.4" hidden="1" customHeight="1" spans="3:11">
      <c r="C10" s="24">
        <f ca="1">SUM($I$2:I10)</f>
        <v>3</v>
      </c>
      <c r="D10" s="14" t="e">
        <f ca="1">VLOOKUP(B10,DonGia,3,0)&amp;" tại các vị trí: "&amp;J10</f>
        <v>#N/A</v>
      </c>
      <c r="E10" s="21" t="str">
        <f ca="1">HLOOKUP(B10,BangKeTru!$1:$184,184,0)</f>
        <v>Dự toán</v>
      </c>
      <c r="F10" s="21">
        <f ca="1">IFERROR(HLOOKUP(B10,$1:$12,2,0),0)</f>
        <v>0</v>
      </c>
      <c r="G10" s="22"/>
      <c r="H10" s="13"/>
      <c r="I10" s="1">
        <f ca="1" t="shared" si="0"/>
        <v>0</v>
      </c>
      <c r="J10" s="28" t="e">
        <f ca="1">UPPER(HLOOKUP($B10,$1:$13,$J$1+2,0))</f>
        <v>#N/A</v>
      </c>
      <c r="K10" s="18"/>
    </row>
    <row r="11" s="1" customFormat="1" ht="35.4" hidden="1" customHeight="1" spans="3:11">
      <c r="C11" s="24">
        <f ca="1">SUM($I$2:I11)</f>
        <v>3</v>
      </c>
      <c r="D11" s="14" t="e">
        <f ca="1">VLOOKUP(B11,DonGia,3,0)&amp;" tại các vị trí: "&amp;J11</f>
        <v>#N/A</v>
      </c>
      <c r="E11" s="21" t="str">
        <f ca="1">HLOOKUP(B11,BangKeTru!$1:$184,184,0)</f>
        <v>Dự toán</v>
      </c>
      <c r="F11" s="21">
        <f ca="1">IFERROR(HLOOKUP(B11,$1:$12,2,0),0)</f>
        <v>0</v>
      </c>
      <c r="G11" s="22"/>
      <c r="H11" s="13"/>
      <c r="I11" s="1">
        <f ca="1" t="shared" si="0"/>
        <v>0</v>
      </c>
      <c r="J11" s="28" t="e">
        <f ca="1">UPPER(HLOOKUP($B11,$1:$13,$J$1+2,0))</f>
        <v>#N/A</v>
      </c>
      <c r="K11" s="18"/>
    </row>
    <row r="12" s="1" customFormat="1" ht="35.4" hidden="1" customHeight="1" spans="3:11">
      <c r="C12" s="24">
        <f ca="1">SUM($I$2:I12)</f>
        <v>3</v>
      </c>
      <c r="D12" s="14" t="e">
        <f ca="1">VLOOKUP(B12,DonGia,3,0)&amp;" tại các vị trí: "&amp;J12</f>
        <v>#N/A</v>
      </c>
      <c r="E12" s="21" t="str">
        <f ca="1">HLOOKUP(B12,BangKeTru!$1:$184,184,0)</f>
        <v>Dự toán</v>
      </c>
      <c r="F12" s="21">
        <f ca="1">IFERROR(HLOOKUP(B12,$1:$12,2,0),0)</f>
        <v>0</v>
      </c>
      <c r="G12" s="22"/>
      <c r="H12" s="13"/>
      <c r="I12" s="1">
        <f ca="1" t="shared" si="0"/>
        <v>0</v>
      </c>
      <c r="J12" s="28" t="e">
        <f ca="1">UPPER(HLOOKUP($B12,$1:$13,$J$1+2,0))</f>
        <v>#N/A</v>
      </c>
      <c r="K12" s="18"/>
    </row>
    <row r="13" ht="29.4" hidden="1" customHeight="1" spans="3:8">
      <c r="C13" s="24"/>
      <c r="D13" s="5" t="s">
        <v>3444</v>
      </c>
      <c r="E13" s="25">
        <f ca="1">SUM(E2:E12)</f>
        <v>858</v>
      </c>
      <c r="F13" s="25">
        <f ca="1">SUM(F2:F12)</f>
        <v>63</v>
      </c>
      <c r="G13" s="24"/>
      <c r="H13" s="13"/>
    </row>
    <row r="14" ht="18" hidden="1" customHeight="1"/>
    <row r="15" hidden="1"/>
    <row r="16" hidden="1"/>
    <row r="17" hidden="1"/>
    <row r="18" hidden="1"/>
    <row r="19" hidden="1"/>
    <row r="20" hidden="1"/>
    <row r="21" hidden="1"/>
    <row r="22" hidden="1"/>
    <row r="23" hidden="1" spans="12:14">
      <c r="L23" s="18"/>
      <c r="M23" s="18"/>
      <c r="N23" s="18"/>
    </row>
    <row r="24" hidden="1" spans="12:14">
      <c r="L24" s="18"/>
      <c r="M24" s="18"/>
      <c r="N24" s="18"/>
    </row>
    <row r="25" hidden="1" spans="12:14">
      <c r="L25" s="18"/>
      <c r="M25" s="18"/>
      <c r="N25" s="18"/>
    </row>
    <row r="26" hidden="1" spans="12:14">
      <c r="L26" s="18"/>
      <c r="M26" s="18"/>
      <c r="N26" s="18"/>
    </row>
    <row r="27" hidden="1" spans="12:14">
      <c r="L27" s="18"/>
      <c r="M27" s="18"/>
      <c r="N27" s="18"/>
    </row>
    <row r="28" hidden="1" spans="12:14">
      <c r="L28" s="18"/>
      <c r="M28" s="18"/>
      <c r="N28" s="18"/>
    </row>
    <row r="29" hidden="1" spans="12:14">
      <c r="L29" s="18"/>
      <c r="M29" s="18"/>
      <c r="N29" s="18"/>
    </row>
    <row r="30" hidden="1" spans="12:14">
      <c r="L30" s="18"/>
      <c r="M30" s="18"/>
      <c r="N30" s="18"/>
    </row>
    <row r="31" hidden="1" spans="12:14">
      <c r="L31" s="18"/>
      <c r="M31" s="18"/>
      <c r="N31" s="18"/>
    </row>
    <row r="32" hidden="1" spans="12:14">
      <c r="L32" s="18"/>
      <c r="M32" s="18"/>
      <c r="N32" s="18"/>
    </row>
    <row r="33" hidden="1" spans="12:14">
      <c r="L33" s="18"/>
      <c r="M33" s="18"/>
      <c r="N33" s="18"/>
    </row>
    <row r="34" hidden="1" spans="12:14">
      <c r="L34" s="18"/>
      <c r="M34" s="18"/>
      <c r="N34" s="18"/>
    </row>
    <row r="35" hidden="1" spans="12:14">
      <c r="L35" s="18"/>
      <c r="M35" s="18"/>
      <c r="N35" s="18"/>
    </row>
    <row r="36" hidden="1" spans="12:14">
      <c r="L36" s="18"/>
      <c r="M36" s="18"/>
      <c r="N36" s="18"/>
    </row>
    <row r="37" hidden="1" spans="12:14">
      <c r="L37" s="18"/>
      <c r="M37" s="18"/>
      <c r="N37" s="18"/>
    </row>
    <row r="38" hidden="1" spans="12:14">
      <c r="L38" s="18"/>
      <c r="M38" s="18"/>
      <c r="N38" s="18"/>
    </row>
    <row r="39" hidden="1" spans="12:14">
      <c r="L39" s="18"/>
      <c r="M39" s="18"/>
      <c r="N39" s="18"/>
    </row>
    <row r="40" hidden="1" spans="12:14">
      <c r="L40" s="18"/>
      <c r="M40" s="18"/>
      <c r="N40" s="18"/>
    </row>
    <row r="41" hidden="1"/>
    <row r="42" hidden="1"/>
    <row r="43" hidden="1"/>
    <row r="44" hidden="1"/>
    <row r="45" hidden="1"/>
    <row r="46" hidden="1"/>
    <row r="47" hidden="1"/>
    <row r="48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  <row r="59" hidden="1"/>
    <row r="60" hidden="1"/>
    <row r="61" hidden="1"/>
    <row r="62" hidden="1"/>
    <row r="63" hidden="1"/>
    <row r="64" hidden="1"/>
    <row r="65" hidden="1"/>
    <row r="66" hidden="1"/>
    <row r="67" hidden="1"/>
    <row r="68" hidden="1"/>
    <row r="69" hidden="1"/>
    <row r="70" hidden="1"/>
    <row r="71" hidden="1"/>
    <row r="72" hidden="1"/>
    <row r="73" hidden="1"/>
    <row r="74" hidden="1"/>
    <row r="75" hidden="1"/>
    <row r="76" hidden="1"/>
    <row r="77" hidden="1"/>
    <row r="78" hidden="1"/>
    <row r="79" hidden="1"/>
    <row r="80" hidden="1"/>
    <row r="81" hidden="1"/>
    <row r="82" hidden="1"/>
    <row r="83" hidden="1"/>
    <row r="84" hidden="1"/>
    <row r="85" hidden="1"/>
    <row r="86" hidden="1"/>
    <row r="87" hidden="1"/>
    <row r="88" hidden="1"/>
    <row r="89" hidden="1"/>
    <row r="90" hidden="1"/>
    <row r="91" hidden="1"/>
    <row r="92" hidden="1"/>
    <row r="93" hidden="1"/>
    <row r="94" hidden="1"/>
    <row r="95" hidden="1"/>
    <row r="96" hidden="1"/>
    <row r="97" hidden="1"/>
    <row r="98" hidden="1"/>
    <row r="99" hidden="1"/>
    <row r="100" hidden="1"/>
    <row r="101" hidden="1"/>
    <row r="102" hidden="1"/>
    <row r="103" hidden="1"/>
    <row r="104" hidden="1"/>
    <row r="105" hidden="1"/>
    <row r="106" hidden="1"/>
    <row r="107" hidden="1"/>
    <row r="108" hidden="1"/>
    <row r="109" hidden="1"/>
    <row r="110" hidden="1"/>
    <row r="111" hidden="1"/>
    <row r="112" hidden="1"/>
    <row r="113" hidden="1"/>
    <row r="114" hidden="1"/>
    <row r="115" hidden="1"/>
    <row r="116" hidden="1"/>
    <row r="117" hidden="1"/>
    <row r="118" hidden="1"/>
    <row r="119" hidden="1"/>
    <row r="120" hidden="1"/>
    <row r="121" hidden="1"/>
    <row r="122" hidden="1"/>
    <row r="123" hidden="1"/>
    <row r="124" hidden="1"/>
    <row r="125" hidden="1"/>
    <row r="126" hidden="1"/>
    <row r="127" hidden="1"/>
    <row r="128" hidden="1"/>
    <row r="129" hidden="1"/>
    <row r="130" hidden="1"/>
    <row r="131" hidden="1"/>
    <row r="132" hidden="1"/>
    <row r="133" hidden="1"/>
    <row r="134" hidden="1"/>
    <row r="135" hidden="1"/>
    <row r="136" hidden="1"/>
    <row r="137" hidden="1"/>
    <row r="138" hidden="1"/>
    <row r="139" hidden="1"/>
    <row r="140" hidden="1"/>
    <row r="141" hidden="1"/>
    <row r="142" hidden="1"/>
    <row r="143" hidden="1"/>
    <row r="144" hidden="1"/>
    <row r="145" hidden="1"/>
    <row r="146" hidden="1"/>
    <row r="147" hidden="1"/>
    <row r="148" hidden="1"/>
    <row r="149" hidden="1"/>
    <row r="150" hidden="1"/>
    <row r="151" hidden="1"/>
    <row r="152" hidden="1"/>
    <row r="153" hidden="1"/>
    <row r="154" hidden="1"/>
    <row r="155" hidden="1"/>
    <row r="156" hidden="1"/>
    <row r="157" hidden="1"/>
    <row r="158" hidden="1"/>
    <row r="159" hidden="1"/>
    <row r="160" hidden="1"/>
    <row r="161" hidden="1"/>
    <row r="162" hidden="1"/>
    <row r="163" hidden="1"/>
    <row r="164" hidden="1"/>
    <row r="165" hidden="1"/>
    <row r="166" hidden="1"/>
    <row r="167" hidden="1"/>
    <row r="168" hidden="1"/>
    <row r="169" hidden="1"/>
    <row r="170" hidden="1"/>
    <row r="171" hidden="1"/>
    <row r="172" hidden="1"/>
    <row r="173" hidden="1"/>
    <row r="174" hidden="1"/>
    <row r="175" hidden="1"/>
    <row r="176" hidden="1"/>
    <row r="177" hidden="1"/>
    <row r="178" hidden="1"/>
    <row r="179" hidden="1"/>
    <row r="180" hidden="1"/>
    <row r="181" hidden="1"/>
    <row r="182" hidden="1"/>
    <row r="183" hidden="1"/>
    <row r="184" hidden="1"/>
    <row r="185" hidden="1"/>
    <row r="186" hidden="1"/>
    <row r="187" hidden="1"/>
    <row r="188" hidden="1"/>
  </sheetData>
  <autoFilter ref="A1:L188">
    <filterColumn colId="8">
      <customFilters>
        <customFilter operator="equal" val="1"/>
      </customFilters>
    </filterColumn>
    <extLst/>
  </autoFilter>
  <pageMargins left="0.699305555555556" right="0.699305555555556" top="0.75" bottom="0.75" header="0.3" footer="0.3"/>
  <pageSetup paperSize="9" orientation="portrait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Q40"/>
  <sheetViews>
    <sheetView workbookViewId="0">
      <selection activeCell="C1458" sqref="C1458"/>
    </sheetView>
  </sheetViews>
  <sheetFormatPr defaultColWidth="11" defaultRowHeight="16.8"/>
  <cols>
    <col min="1" max="1" width="11" style="1"/>
    <col min="2" max="2" width="23.7777777777778" style="17" customWidth="1"/>
    <col min="3" max="3" width="9.22222222222222" style="1" customWidth="1"/>
    <col min="4" max="4" width="57.1111111111111" style="1" customWidth="1"/>
    <col min="5" max="6" width="11" style="1" customWidth="1"/>
    <col min="7" max="7" width="12.8888888888889" style="1" customWidth="1"/>
    <col min="8" max="8" width="9.33333333333333" style="1" customWidth="1"/>
    <col min="9" max="9" width="10.4444444444444" style="1" customWidth="1"/>
    <col min="10" max="10" width="17.2222222222222" style="1" customWidth="1"/>
    <col min="11" max="11" width="21.6666666666667" style="18" customWidth="1"/>
    <col min="12" max="17" width="15.2222222222222" style="1" customWidth="1"/>
    <col min="18" max="16384" width="11" style="1"/>
  </cols>
  <sheetData>
    <row r="1" ht="36" customHeight="1" spans="1:14">
      <c r="A1" s="1" t="s">
        <v>28</v>
      </c>
      <c r="B1" s="19">
        <v>43757</v>
      </c>
      <c r="C1" s="5" t="s">
        <v>15</v>
      </c>
      <c r="D1" s="5" t="s">
        <v>3445</v>
      </c>
      <c r="E1" s="20" t="s">
        <v>3434</v>
      </c>
      <c r="F1" s="20" t="s">
        <v>3435</v>
      </c>
      <c r="G1" s="5" t="s">
        <v>3436</v>
      </c>
      <c r="H1" s="5" t="s">
        <v>3437</v>
      </c>
      <c r="I1" s="26" t="s">
        <v>3438</v>
      </c>
      <c r="J1" s="26">
        <v>1</v>
      </c>
      <c r="K1" s="27" t="s">
        <v>3440</v>
      </c>
      <c r="L1" s="1" t="str">
        <f>BangKeTru!AJ1</f>
        <v>TDLL12</v>
      </c>
      <c r="M1" s="1" t="str">
        <f>BangKeTru!AK1</f>
        <v>TDLL12hh</v>
      </c>
      <c r="N1" s="1" t="str">
        <f>BangKeTru!AL1</f>
        <v>TDDD12</v>
      </c>
    </row>
    <row r="2" ht="35.4" customHeight="1" spans="2:14">
      <c r="B2" s="1" t="s">
        <v>3003</v>
      </c>
      <c r="C2" s="12" t="e">
        <f ca="1">SUM($I$2:I2)</f>
        <v>#N/A</v>
      </c>
      <c r="D2" s="14" t="e">
        <f ca="1">VLOOKUP(B2,DonGia,3,0)&amp;" tại các vị trí: "&amp;J2</f>
        <v>#N/A</v>
      </c>
      <c r="E2" s="21">
        <f ca="1">HLOOKUP(B2,BangKeTru!$1:$184,184,0)</f>
        <v>5</v>
      </c>
      <c r="F2" s="21" t="e">
        <f ca="1">HLOOKUP(B2,$1:$12,2,0)</f>
        <v>#N/A</v>
      </c>
      <c r="G2" s="22" t="s">
        <v>3441</v>
      </c>
      <c r="H2" s="23"/>
      <c r="I2" s="1" t="e">
        <f ca="1">IF(F2&gt;0,1,"")</f>
        <v>#N/A</v>
      </c>
      <c r="J2" s="28" t="e">
        <f ca="1">UPPER(HLOOKUP($B2,$1:$13,$J$1+2,0))</f>
        <v>#N/A</v>
      </c>
      <c r="K2" s="18" t="s">
        <v>3447</v>
      </c>
      <c r="L2" s="1">
        <f>SUMIFS(BangKeTru!AJ:AJ,NTKeoDay,$B$1)</f>
        <v>4</v>
      </c>
      <c r="M2" s="1">
        <f>SUMIFS(BangKeTru!AK:AK,NTKeoDay,$B$1)</f>
        <v>9</v>
      </c>
      <c r="N2" s="1">
        <f>SUMIFS(BangKeTru!AL:AL,NTKeoDay,$B$1)</f>
        <v>4</v>
      </c>
    </row>
    <row r="3" ht="35.4" customHeight="1" spans="2:17">
      <c r="B3" s="1" t="s">
        <v>3284</v>
      </c>
      <c r="C3" s="12" t="e">
        <f ca="1">SUM($I$2:I3)</f>
        <v>#N/A</v>
      </c>
      <c r="D3" s="14" t="e">
        <f ca="1">VLOOKUP(B3,DonGia,3,0)&amp;" tại các vị trí: "&amp;J3</f>
        <v>#N/A</v>
      </c>
      <c r="E3" s="21">
        <f ca="1">HLOOKUP(B3,BangKeTru!$1:$184,184,0)</f>
        <v>10</v>
      </c>
      <c r="F3" s="21" t="e">
        <f ca="1">HLOOKUP(B3,$1:$12,2,0)</f>
        <v>#N/A</v>
      </c>
      <c r="G3" s="22" t="s">
        <v>3441</v>
      </c>
      <c r="H3" s="23"/>
      <c r="I3" s="1" t="e">
        <f ca="1" t="shared" ref="I3:I12" si="0">IF(F3&gt;0,1,0)</f>
        <v>#N/A</v>
      </c>
      <c r="J3" s="28" t="e">
        <f ca="1">UPPER(HLOOKUP($B3,$1:$13,$J$1+2,0))</f>
        <v>#N/A</v>
      </c>
      <c r="K3" s="18">
        <f>'7day'!B5</f>
        <v>43757</v>
      </c>
      <c r="L3" s="29" t="str">
        <f ca="1" t="array" ref="L3">_xlfn.TEXTJOIN(", ",TRUE,IF(($K3=NTKeoDay)*(BangKeTru!AJ:AJ&gt;0),BangKeTru!$M:$M,""))</f>
        <v>95a, 103a, 118a, 127a</v>
      </c>
      <c r="M3" s="29"/>
      <c r="N3" s="29"/>
      <c r="O3" s="29"/>
      <c r="P3" s="29"/>
      <c r="Q3" s="29"/>
    </row>
    <row r="4" s="1" customFormat="1" ht="35.4" customHeight="1" spans="2:17">
      <c r="B4" s="1" t="s">
        <v>3026</v>
      </c>
      <c r="C4" s="12" t="e">
        <f ca="1">SUM($I$2:I4)</f>
        <v>#N/A</v>
      </c>
      <c r="D4" s="14" t="e">
        <f ca="1">VLOOKUP(B4,DonGia,3,0)&amp;" tại các vị trí: "&amp;J4</f>
        <v>#N/A</v>
      </c>
      <c r="E4" s="21">
        <f ca="1">HLOOKUP(B4,BangKeTru!$1:$184,184,0)</f>
        <v>151</v>
      </c>
      <c r="F4" s="21" t="e">
        <f ca="1">HLOOKUP(B4,$1:$12,2,0)</f>
        <v>#N/A</v>
      </c>
      <c r="G4" s="22" t="s">
        <v>3441</v>
      </c>
      <c r="H4" s="23"/>
      <c r="I4" s="1" t="e">
        <f ca="1" t="shared" si="0"/>
        <v>#N/A</v>
      </c>
      <c r="J4" s="28" t="e">
        <f ca="1">UPPER(HLOOKUP($B4,$1:$13,$J$1+2,0))</f>
        <v>#N/A</v>
      </c>
      <c r="K4" s="18">
        <f>'7day'!B6</f>
        <v>43765</v>
      </c>
      <c r="L4" s="29" t="str">
        <f ca="1" t="array" ref="L4">_xlfn.TEXTJOIN(", ",TRUE,IF(($K4=NTKeoDay)*(BangKeTru!AJ:AJ&gt;0),BangKeTru!$M:$M,""))</f>
        <v>144a, 147a, 150a, 155a, 158a, 162a, 165a, 168a, 171a</v>
      </c>
      <c r="M4" s="29"/>
      <c r="N4" s="29"/>
      <c r="O4" s="29"/>
      <c r="P4" s="29"/>
      <c r="Q4" s="29"/>
    </row>
    <row r="5" s="1" customFormat="1" ht="35.4" customHeight="1" spans="2:17">
      <c r="B5" s="1" t="s">
        <v>3028</v>
      </c>
      <c r="C5" s="12" t="e">
        <f ca="1">SUM($I$2:I5)</f>
        <v>#N/A</v>
      </c>
      <c r="D5" s="14" t="e">
        <f ca="1">VLOOKUP(B5,DonGia,3,0)&amp;" tại các vị trí: "&amp;J5</f>
        <v>#N/A</v>
      </c>
      <c r="E5" s="21">
        <f ca="1">HLOOKUP(B5,BangKeTru!$1:$184,184,0)</f>
        <v>8</v>
      </c>
      <c r="F5" s="21" t="e">
        <f ca="1">HLOOKUP(B5,$1:$12,2,0)</f>
        <v>#N/A</v>
      </c>
      <c r="G5" s="22" t="s">
        <v>3441</v>
      </c>
      <c r="H5" s="23"/>
      <c r="I5" s="1" t="e">
        <f ca="1" t="shared" si="0"/>
        <v>#N/A</v>
      </c>
      <c r="J5" s="28" t="e">
        <f ca="1">UPPER(HLOOKUP($B5,$1:$13,$J$1+2,0))</f>
        <v>#N/A</v>
      </c>
      <c r="K5" s="18">
        <f>'7day'!B7</f>
        <v>43778</v>
      </c>
      <c r="L5" s="29" t="str">
        <f ca="1" t="array" ref="L5">_xlfn.TEXTJOIN(", ",TRUE,IF(($K5=NTKeoDay)*(BangKeTru!AJ:AJ&gt;0),BangKeTru!$M:$M,""))</f>
        <v>130a, 133a</v>
      </c>
      <c r="M5" s="29"/>
      <c r="N5" s="29"/>
      <c r="O5" s="29"/>
      <c r="P5" s="29"/>
      <c r="Q5" s="29"/>
    </row>
    <row r="6" s="1" customFormat="1" ht="40" customHeight="1" spans="2:17">
      <c r="B6" s="1" t="s">
        <v>3179</v>
      </c>
      <c r="C6" s="24" t="e">
        <f ca="1">SUM($I$2:I6)</f>
        <v>#N/A</v>
      </c>
      <c r="D6" s="14" t="e">
        <f ca="1">VLOOKUP(B6,DonGia,3,0)&amp;" tại các vị trí: "&amp;J6</f>
        <v>#N/A</v>
      </c>
      <c r="E6" s="21">
        <f ca="1">HLOOKUP(B6,BangKeTru!$1:$184,184,0)</f>
        <v>591</v>
      </c>
      <c r="F6" s="21" t="e">
        <f ca="1">HLOOKUP(B6,$1:$12,2,0)</f>
        <v>#N/A</v>
      </c>
      <c r="G6" s="22" t="s">
        <v>3441</v>
      </c>
      <c r="H6" s="13"/>
      <c r="I6" s="1" t="e">
        <f ca="1" t="shared" si="0"/>
        <v>#N/A</v>
      </c>
      <c r="J6" s="28" t="e">
        <f ca="1">UPPER(HLOOKUP($B6,$1:$13,$J$1+2,0))</f>
        <v>#N/A</v>
      </c>
      <c r="K6" s="18"/>
      <c r="L6" s="29" t="str">
        <f t="array" ref="L6">_xlfn.TEXTJOIN(", ",TRUE,IF(($K6=NTPhuKien)*(BangKeTru!AM:AM&gt;0),BangKeTru!$M:$M,""))</f>
        <v>Colume, Sum, Số trụ, 0, CỘNG, CỘNG</v>
      </c>
      <c r="M6" s="29"/>
      <c r="N6" s="29"/>
      <c r="O6" s="29"/>
      <c r="P6" s="29"/>
      <c r="Q6" s="29"/>
    </row>
    <row r="7" s="1" customFormat="1" ht="35.4" customHeight="1" spans="2:17">
      <c r="B7" s="1" t="s">
        <v>3189</v>
      </c>
      <c r="C7" s="24" t="e">
        <f ca="1">SUM($I$2:I7)</f>
        <v>#N/A</v>
      </c>
      <c r="D7" s="14" t="e">
        <f ca="1">VLOOKUP(B7,DonGia,3,0)&amp;" tại các vị trí: "&amp;J7</f>
        <v>#N/A</v>
      </c>
      <c r="E7" s="21">
        <f ca="1">HLOOKUP(B7,BangKeTru!$1:$184,184,0)</f>
        <v>93</v>
      </c>
      <c r="F7" s="21" t="e">
        <f ca="1">HLOOKUP(B7,$1:$12,2,0)</f>
        <v>#N/A</v>
      </c>
      <c r="G7" s="22" t="s">
        <v>3441</v>
      </c>
      <c r="H7" s="13"/>
      <c r="I7" s="1" t="e">
        <f ca="1" t="shared" si="0"/>
        <v>#N/A</v>
      </c>
      <c r="J7" s="28" t="e">
        <f ca="1">UPPER(HLOOKUP($B7,$1:$13,$J$1+2,0))</f>
        <v>#N/A</v>
      </c>
      <c r="K7" s="18"/>
      <c r="L7" s="29" t="str">
        <f t="array" ref="L7">_xlfn.TEXTJOIN(", ",TRUE,IF(($K7=NTPhuKien)*(BangKeTru!AM:AM&gt;0),BangKeTru!$M:$M,""))</f>
        <v>Colume, Sum, Số trụ, 0, CỘNG, CỘNG</v>
      </c>
      <c r="M7" s="29"/>
      <c r="N7" s="29"/>
      <c r="O7" s="29"/>
      <c r="P7" s="29"/>
      <c r="Q7" s="29"/>
    </row>
    <row r="8" s="1" customFormat="1" ht="35.4" customHeight="1" spans="3:11">
      <c r="C8" s="24" t="e">
        <f ca="1">SUM($I$2:I8)</f>
        <v>#N/A</v>
      </c>
      <c r="D8" s="14" t="e">
        <f ca="1">VLOOKUP(B8,DonGia,3,0)&amp;" tại các vị trí: "&amp;J8</f>
        <v>#N/A</v>
      </c>
      <c r="E8" s="21" t="str">
        <f ca="1">HLOOKUP(B8,BangKeTru!$1:$184,184,0)</f>
        <v>Dự toán</v>
      </c>
      <c r="F8" s="21" t="e">
        <f ca="1">HLOOKUP(B8,$1:$12,2,0)</f>
        <v>#N/A</v>
      </c>
      <c r="G8" s="22" t="s">
        <v>3441</v>
      </c>
      <c r="H8" s="13"/>
      <c r="I8" s="1" t="e">
        <f ca="1" t="shared" si="0"/>
        <v>#N/A</v>
      </c>
      <c r="J8" s="28" t="e">
        <f ca="1">UPPER(HLOOKUP($B8,$1:$13,$J$1+2,0))</f>
        <v>#N/A</v>
      </c>
      <c r="K8" s="18"/>
    </row>
    <row r="9" s="1" customFormat="1" ht="35.4" customHeight="1" spans="3:11">
      <c r="C9" s="24" t="e">
        <f ca="1">SUM($I$2:I9)</f>
        <v>#N/A</v>
      </c>
      <c r="D9" s="14" t="e">
        <f ca="1">VLOOKUP(B9,DonGia,3,0)&amp;" tại các vị trí: "&amp;J9</f>
        <v>#N/A</v>
      </c>
      <c r="E9" s="21" t="str">
        <f ca="1">HLOOKUP(B9,BangKeTru!$1:$184,184,0)</f>
        <v>Dự toán</v>
      </c>
      <c r="F9" s="21" t="e">
        <f ca="1">HLOOKUP(B9,$1:$12,2,0)</f>
        <v>#N/A</v>
      </c>
      <c r="G9" s="22" t="s">
        <v>3441</v>
      </c>
      <c r="H9" s="13"/>
      <c r="I9" s="1" t="e">
        <f ca="1" t="shared" si="0"/>
        <v>#N/A</v>
      </c>
      <c r="J9" s="28" t="e">
        <f ca="1">UPPER(HLOOKUP($B9,$1:$13,$J$1+2,0))</f>
        <v>#N/A</v>
      </c>
      <c r="K9" s="18"/>
    </row>
    <row r="10" s="1" customFormat="1" ht="35.4" customHeight="1" spans="3:11">
      <c r="C10" s="24" t="e">
        <f ca="1">SUM($I$2:I10)</f>
        <v>#N/A</v>
      </c>
      <c r="D10" s="14" t="e">
        <f ca="1">VLOOKUP(B10,DonGia,3,0)&amp;" tại các vị trí: "&amp;J10</f>
        <v>#N/A</v>
      </c>
      <c r="E10" s="21" t="str">
        <f ca="1">HLOOKUP(B10,BangKeTru!$1:$184,184,0)</f>
        <v>Dự toán</v>
      </c>
      <c r="F10" s="21" t="e">
        <f ca="1">HLOOKUP(B10,$1:$12,2,0)</f>
        <v>#N/A</v>
      </c>
      <c r="G10" s="22" t="s">
        <v>3441</v>
      </c>
      <c r="H10" s="13"/>
      <c r="I10" s="1" t="e">
        <f ca="1" t="shared" si="0"/>
        <v>#N/A</v>
      </c>
      <c r="J10" s="28" t="e">
        <f ca="1">UPPER(HLOOKUP($B10,$1:$13,$J$1+2,0))</f>
        <v>#N/A</v>
      </c>
      <c r="K10" s="18"/>
    </row>
    <row r="11" s="1" customFormat="1" ht="35.4" customHeight="1" spans="3:11">
      <c r="C11" s="24" t="e">
        <f ca="1">SUM($I$2:I11)</f>
        <v>#N/A</v>
      </c>
      <c r="D11" s="14" t="e">
        <f ca="1">VLOOKUP(B11,DonGia,3,0)&amp;" tại các vị trí: "&amp;J11</f>
        <v>#N/A</v>
      </c>
      <c r="E11" s="21" t="str">
        <f ca="1">HLOOKUP(B11,BangKeTru!$1:$184,184,0)</f>
        <v>Dự toán</v>
      </c>
      <c r="F11" s="21" t="e">
        <f ca="1">HLOOKUP(B11,$1:$12,2,0)</f>
        <v>#N/A</v>
      </c>
      <c r="G11" s="22" t="s">
        <v>3441</v>
      </c>
      <c r="H11" s="13"/>
      <c r="I11" s="1" t="e">
        <f ca="1" t="shared" si="0"/>
        <v>#N/A</v>
      </c>
      <c r="J11" s="28" t="e">
        <f ca="1">UPPER(HLOOKUP($B11,$1:$13,$J$1+2,0))</f>
        <v>#N/A</v>
      </c>
      <c r="K11" s="18"/>
    </row>
    <row r="12" s="1" customFormat="1" ht="35.4" customHeight="1" spans="3:11">
      <c r="C12" s="24" t="e">
        <f ca="1">SUM($I$2:I12)</f>
        <v>#N/A</v>
      </c>
      <c r="D12" s="14" t="e">
        <f ca="1">VLOOKUP(B12,DonGia,3,0)&amp;" tại các vị trí: "&amp;J12</f>
        <v>#N/A</v>
      </c>
      <c r="E12" s="21" t="str">
        <f ca="1">HLOOKUP(B12,BangKeTru!$1:$184,184,0)</f>
        <v>Dự toán</v>
      </c>
      <c r="F12" s="21" t="e">
        <f ca="1">HLOOKUP(B12,$1:$12,2,0)</f>
        <v>#N/A</v>
      </c>
      <c r="G12" s="22" t="s">
        <v>3441</v>
      </c>
      <c r="H12" s="13"/>
      <c r="I12" s="1" t="e">
        <f ca="1" t="shared" si="0"/>
        <v>#N/A</v>
      </c>
      <c r="J12" s="28" t="e">
        <f ca="1">UPPER(HLOOKUP($B12,$1:$13,$J$1+2,0))</f>
        <v>#N/A</v>
      </c>
      <c r="K12" s="18"/>
    </row>
    <row r="13" ht="29.4" customHeight="1" spans="3:9">
      <c r="C13" s="24"/>
      <c r="D13" s="5" t="s">
        <v>3444</v>
      </c>
      <c r="E13" s="25">
        <f ca="1">SUM(E2:E12)</f>
        <v>858</v>
      </c>
      <c r="F13" s="25" t="e">
        <f ca="1">SUM(F2:F12)</f>
        <v>#N/A</v>
      </c>
      <c r="G13" s="24"/>
      <c r="H13" s="13"/>
      <c r="I13" s="1">
        <v>1</v>
      </c>
    </row>
    <row r="14" ht="18" customHeight="1"/>
    <row r="23" spans="12:14">
      <c r="L23" s="18"/>
      <c r="M23" s="18"/>
      <c r="N23" s="18"/>
    </row>
    <row r="24" spans="12:14">
      <c r="L24" s="18"/>
      <c r="M24" s="18"/>
      <c r="N24" s="18"/>
    </row>
    <row r="25" spans="12:14">
      <c r="L25" s="18"/>
      <c r="M25" s="18"/>
      <c r="N25" s="18"/>
    </row>
    <row r="26" spans="12:14">
      <c r="L26" s="18"/>
      <c r="M26" s="18"/>
      <c r="N26" s="18"/>
    </row>
    <row r="27" spans="12:14">
      <c r="L27" s="18"/>
      <c r="M27" s="18"/>
      <c r="N27" s="18"/>
    </row>
    <row r="28" spans="12:14">
      <c r="L28" s="18"/>
      <c r="M28" s="18"/>
      <c r="N28" s="18"/>
    </row>
    <row r="29" spans="12:14">
      <c r="L29" s="18"/>
      <c r="M29" s="18"/>
      <c r="N29" s="18"/>
    </row>
    <row r="30" spans="12:14">
      <c r="L30" s="18"/>
      <c r="M30" s="18"/>
      <c r="N30" s="18"/>
    </row>
    <row r="31" spans="12:14">
      <c r="L31" s="18"/>
      <c r="M31" s="18"/>
      <c r="N31" s="18"/>
    </row>
    <row r="32" spans="12:14">
      <c r="L32" s="18"/>
      <c r="M32" s="18"/>
      <c r="N32" s="18"/>
    </row>
    <row r="33" spans="12:14">
      <c r="L33" s="18"/>
      <c r="M33" s="18"/>
      <c r="N33" s="18"/>
    </row>
    <row r="34" spans="12:14">
      <c r="L34" s="18"/>
      <c r="M34" s="18"/>
      <c r="N34" s="18"/>
    </row>
    <row r="35" spans="12:14">
      <c r="L35" s="18"/>
      <c r="M35" s="18"/>
      <c r="N35" s="18"/>
    </row>
    <row r="36" spans="12:14">
      <c r="L36" s="18"/>
      <c r="M36" s="18"/>
      <c r="N36" s="18"/>
    </row>
    <row r="37" spans="12:14">
      <c r="L37" s="18"/>
      <c r="M37" s="18"/>
      <c r="N37" s="18"/>
    </row>
    <row r="38" spans="12:14">
      <c r="L38" s="18"/>
      <c r="M38" s="18"/>
      <c r="N38" s="18"/>
    </row>
    <row r="39" spans="12:14">
      <c r="L39" s="18"/>
      <c r="M39" s="18"/>
      <c r="N39" s="18"/>
    </row>
    <row r="40" spans="12:14">
      <c r="L40" s="18"/>
      <c r="M40" s="18"/>
      <c r="N40" s="18"/>
    </row>
  </sheetData>
  <autoFilter ref="A1:L188">
    <extLst/>
  </autoFilter>
  <pageMargins left="0.699305555555556" right="0.699305555555556" top="0.75" bottom="0.75" header="0.3" footer="0.3"/>
  <pageSetup paperSize="9" orientation="portrait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3:K15"/>
  <sheetViews>
    <sheetView workbookViewId="0">
      <selection activeCell="C1458" sqref="C1458"/>
    </sheetView>
  </sheetViews>
  <sheetFormatPr defaultColWidth="10.8888888888889" defaultRowHeight="16.8"/>
  <cols>
    <col min="1" max="1" width="10.8888888888889" style="1"/>
    <col min="2" max="2" width="17.6666666666667" style="2" customWidth="1"/>
    <col min="3" max="3" width="6.55555555555556" style="1" customWidth="1"/>
    <col min="4" max="4" width="36.4444444444444" style="1" customWidth="1"/>
    <col min="5" max="5" width="22.8888888888889" style="1" customWidth="1"/>
    <col min="6" max="6" width="11.4444444444444" style="1" customWidth="1"/>
    <col min="7" max="7" width="14" style="1" customWidth="1"/>
    <col min="8" max="8" width="7.22222222222222" style="1" customWidth="1"/>
    <col min="9" max="16384" width="10.8888888888889" style="1"/>
  </cols>
  <sheetData>
    <row r="3" ht="24.6" customHeight="1" spans="3:9">
      <c r="C3" s="3" t="s">
        <v>15</v>
      </c>
      <c r="D3" s="4" t="s">
        <v>3449</v>
      </c>
      <c r="E3" s="3" t="s">
        <v>3450</v>
      </c>
      <c r="F3" s="3" t="s">
        <v>3451</v>
      </c>
      <c r="G3" s="3"/>
      <c r="H3" s="5" t="s">
        <v>3437</v>
      </c>
      <c r="I3" s="15" t="s">
        <v>28</v>
      </c>
    </row>
    <row r="4" ht="24.6" customHeight="1" spans="3:10">
      <c r="C4" s="3"/>
      <c r="D4" s="6"/>
      <c r="E4" s="3"/>
      <c r="F4" s="7" t="s">
        <v>3452</v>
      </c>
      <c r="G4" s="7" t="s">
        <v>3435</v>
      </c>
      <c r="H4" s="5"/>
      <c r="I4" s="1">
        <f t="shared" ref="I4:I15" si="0">IF(OR(E4&gt;0,F4&gt;0),1,"")</f>
        <v>1</v>
      </c>
      <c r="J4" s="16"/>
    </row>
    <row r="5" ht="32" customHeight="1" spans="2:11">
      <c r="B5" s="2">
        <v>43757</v>
      </c>
      <c r="C5" s="8">
        <v>1</v>
      </c>
      <c r="D5" s="9" t="s">
        <v>3453</v>
      </c>
      <c r="E5" s="10" t="s">
        <v>3454</v>
      </c>
      <c r="F5" s="11">
        <v>6342.9</v>
      </c>
      <c r="G5" s="11">
        <f>SUMIF(NTKeoDay,B5,BangKeTru!N:N)</f>
        <v>2822.4</v>
      </c>
      <c r="H5" s="12"/>
      <c r="I5" s="1">
        <f t="shared" si="0"/>
        <v>1</v>
      </c>
      <c r="J5" s="16" t="s">
        <v>3455</v>
      </c>
      <c r="K5" s="1">
        <v>126</v>
      </c>
    </row>
    <row r="6" ht="32" customHeight="1" spans="2:11">
      <c r="B6" s="2">
        <v>43765</v>
      </c>
      <c r="C6" s="8">
        <f t="shared" ref="C6:C15" si="1">IF(B6=B5,C5+1,1)</f>
        <v>1</v>
      </c>
      <c r="D6" s="9" t="s">
        <v>3456</v>
      </c>
      <c r="E6" s="10" t="s">
        <v>3454</v>
      </c>
      <c r="F6" s="11">
        <v>6342.9</v>
      </c>
      <c r="G6" s="11">
        <f>SUMIF(NTKeoDay,B6,BangKeTru!N:N)</f>
        <v>2433.8</v>
      </c>
      <c r="H6" s="12"/>
      <c r="I6" s="1">
        <v>2</v>
      </c>
      <c r="J6" s="16" t="s">
        <v>3457</v>
      </c>
      <c r="K6" s="1">
        <v>174</v>
      </c>
    </row>
    <row r="7" ht="32" customHeight="1" spans="2:11">
      <c r="B7" s="2">
        <v>43778</v>
      </c>
      <c r="C7" s="8">
        <f t="shared" si="1"/>
        <v>1</v>
      </c>
      <c r="D7" s="9" t="str">
        <f>"Từ trụ "&amp;J7&amp;" đến trụ "&amp;K7</f>
        <v>Từ trụ 126 đến trụ 142A</v>
      </c>
      <c r="E7" s="10" t="s">
        <v>3454</v>
      </c>
      <c r="F7" s="11">
        <v>6342.9</v>
      </c>
      <c r="G7" s="11">
        <f>SUMIF(NTKeoDay,B7,BangKeTru!N:N)</f>
        <v>1062.6</v>
      </c>
      <c r="H7" s="13"/>
      <c r="I7" s="1">
        <v>3</v>
      </c>
      <c r="J7" s="16">
        <v>126</v>
      </c>
      <c r="K7" s="1" t="s">
        <v>3457</v>
      </c>
    </row>
    <row r="8" spans="3:10">
      <c r="C8" s="8">
        <f t="shared" si="1"/>
        <v>1</v>
      </c>
      <c r="D8" s="14"/>
      <c r="E8" s="10" t="s">
        <v>3454</v>
      </c>
      <c r="F8" s="11">
        <v>6342.9</v>
      </c>
      <c r="G8" s="11" t="e">
        <v>#VALUE!</v>
      </c>
      <c r="H8" s="13"/>
      <c r="I8" s="1">
        <f t="shared" si="0"/>
        <v>1</v>
      </c>
      <c r="J8" s="16"/>
    </row>
    <row r="9" spans="3:10">
      <c r="C9" s="8">
        <f t="shared" si="1"/>
        <v>2</v>
      </c>
      <c r="D9" s="14"/>
      <c r="E9" s="10" t="s">
        <v>3454</v>
      </c>
      <c r="F9" s="11">
        <v>6342.9</v>
      </c>
      <c r="G9" s="11" t="e">
        <v>#VALUE!</v>
      </c>
      <c r="H9" s="13"/>
      <c r="I9" s="1">
        <f t="shared" si="0"/>
        <v>1</v>
      </c>
      <c r="J9" s="16"/>
    </row>
    <row r="10" spans="3:10">
      <c r="C10" s="8">
        <f t="shared" si="1"/>
        <v>3</v>
      </c>
      <c r="D10" s="14"/>
      <c r="E10" s="10" t="s">
        <v>3454</v>
      </c>
      <c r="F10" s="11">
        <v>6342.9</v>
      </c>
      <c r="G10" s="11" t="e">
        <v>#VALUE!</v>
      </c>
      <c r="H10" s="13"/>
      <c r="I10" s="1">
        <f t="shared" si="0"/>
        <v>1</v>
      </c>
      <c r="J10" s="16"/>
    </row>
    <row r="11" spans="3:10">
      <c r="C11" s="8">
        <f t="shared" si="1"/>
        <v>4</v>
      </c>
      <c r="D11" s="14"/>
      <c r="E11" s="10" t="s">
        <v>3454</v>
      </c>
      <c r="F11" s="11">
        <v>6342.9</v>
      </c>
      <c r="G11" s="11" t="e">
        <v>#VALUE!</v>
      </c>
      <c r="H11" s="13"/>
      <c r="I11" s="1">
        <f t="shared" si="0"/>
        <v>1</v>
      </c>
      <c r="J11" s="16"/>
    </row>
    <row r="12" spans="3:10">
      <c r="C12" s="8">
        <f t="shared" si="1"/>
        <v>5</v>
      </c>
      <c r="D12" s="14"/>
      <c r="E12" s="10" t="s">
        <v>3454</v>
      </c>
      <c r="F12" s="11">
        <v>6342.9</v>
      </c>
      <c r="G12" s="11" t="e">
        <v>#VALUE!</v>
      </c>
      <c r="H12" s="13"/>
      <c r="I12" s="1">
        <f t="shared" si="0"/>
        <v>1</v>
      </c>
      <c r="J12" s="16"/>
    </row>
    <row r="13" spans="3:10">
      <c r="C13" s="8">
        <f t="shared" si="1"/>
        <v>6</v>
      </c>
      <c r="D13" s="14"/>
      <c r="E13" s="10" t="s">
        <v>3454</v>
      </c>
      <c r="F13" s="11">
        <v>6342.9</v>
      </c>
      <c r="G13" s="11" t="e">
        <v>#VALUE!</v>
      </c>
      <c r="H13" s="13"/>
      <c r="I13" s="1">
        <f t="shared" si="0"/>
        <v>1</v>
      </c>
      <c r="J13" s="16"/>
    </row>
    <row r="14" spans="3:10">
      <c r="C14" s="8">
        <f t="shared" si="1"/>
        <v>7</v>
      </c>
      <c r="D14" s="14"/>
      <c r="E14" s="10" t="s">
        <v>3454</v>
      </c>
      <c r="F14" s="11">
        <v>6342.9</v>
      </c>
      <c r="G14" s="11" t="e">
        <v>#VALUE!</v>
      </c>
      <c r="H14" s="13"/>
      <c r="I14" s="1">
        <f t="shared" si="0"/>
        <v>1</v>
      </c>
      <c r="J14" s="16"/>
    </row>
    <row r="15" spans="3:10">
      <c r="C15" s="8">
        <f t="shared" si="1"/>
        <v>8</v>
      </c>
      <c r="D15" s="14"/>
      <c r="E15" s="10" t="s">
        <v>3454</v>
      </c>
      <c r="F15" s="11">
        <v>6342.9</v>
      </c>
      <c r="G15" s="11" t="e">
        <v>#VALUE!</v>
      </c>
      <c r="H15" s="13"/>
      <c r="I15" s="1">
        <f t="shared" si="0"/>
        <v>1</v>
      </c>
      <c r="J15" s="16"/>
    </row>
  </sheetData>
  <autoFilter ref="I3:I15">
    <extLst/>
  </autoFilter>
  <mergeCells count="5">
    <mergeCell ref="F3:G3"/>
    <mergeCell ref="C3:C4"/>
    <mergeCell ref="D3:D4"/>
    <mergeCell ref="E3:E4"/>
    <mergeCell ref="H3:H4"/>
  </mergeCells>
  <pageMargins left="0.699305555555556" right="0.699305555555556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Dữ liệu</vt:lpstr>
      <vt:lpstr>Nối chuỗi</vt:lpstr>
      <vt:lpstr>DG</vt:lpstr>
      <vt:lpstr>BangKeTru</vt:lpstr>
      <vt:lpstr>2Mong</vt:lpstr>
      <vt:lpstr>3Tru</vt:lpstr>
      <vt:lpstr>04BT</vt:lpstr>
      <vt:lpstr>05Neo</vt:lpstr>
      <vt:lpstr>6PK</vt:lpstr>
      <vt:lpstr>TiepDia</vt:lpstr>
      <vt:lpstr>7day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THUCSPC</dc:creator>
  <cp:lastModifiedBy>THUCSPC</cp:lastModifiedBy>
  <dcterms:created xsi:type="dcterms:W3CDTF">2019-12-01T06:17:00Z</dcterms:created>
  <dcterms:modified xsi:type="dcterms:W3CDTF">2019-12-01T06:19:58Z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1033-11.2.0.9052</vt:lpwstr>
  </property>
</Properties>
</file>